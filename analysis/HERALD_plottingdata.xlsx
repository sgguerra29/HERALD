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guerra/douglass/"/>
    </mc:Choice>
  </mc:AlternateContent>
  <xr:revisionPtr revIDLastSave="0" documentId="13_ncr:1_{D7581AB9-3FBB-D341-89CB-0278656CD060}" xr6:coauthVersionLast="47" xr6:coauthVersionMax="47" xr10:uidLastSave="{00000000-0000-0000-0000-000000000000}"/>
  <bookViews>
    <workbookView xWindow="40" yWindow="600" windowWidth="26520" windowHeight="14820" activeTab="3" xr2:uid="{8EAA5B1C-4B84-F44D-B89E-C743DF95D99A}"/>
  </bookViews>
  <sheets>
    <sheet name="false positive" sheetId="1" r:id="rId1"/>
    <sheet name="var insert length" sheetId="2" r:id="rId2"/>
    <sheet name="var insert placement" sheetId="3" r:id="rId3"/>
    <sheet name="mmf" sheetId="4" r:id="rId4"/>
    <sheet name="frag number" sheetId="5" r:id="rId5"/>
    <sheet name="spike rate" sheetId="8" r:id="rId6"/>
    <sheet name="PacB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4" l="1"/>
  <c r="N49" i="4"/>
  <c r="N50" i="4"/>
  <c r="N51" i="4"/>
  <c r="N52" i="4"/>
  <c r="N53" i="4"/>
  <c r="N48" i="4"/>
  <c r="O40" i="4"/>
  <c r="N41" i="4"/>
  <c r="N42" i="4"/>
  <c r="N43" i="4"/>
  <c r="N44" i="4"/>
  <c r="N45" i="4"/>
  <c r="N40" i="4"/>
  <c r="O32" i="4"/>
  <c r="N33" i="4"/>
  <c r="N34" i="4"/>
  <c r="N35" i="4"/>
  <c r="N36" i="4"/>
  <c r="N37" i="4"/>
  <c r="N32" i="4"/>
  <c r="O24" i="4"/>
  <c r="N25" i="4"/>
  <c r="N26" i="4"/>
  <c r="N27" i="4"/>
  <c r="N28" i="4"/>
  <c r="N29" i="4"/>
  <c r="N24" i="4"/>
  <c r="S27" i="5"/>
  <c r="S26" i="5"/>
  <c r="R26" i="5"/>
  <c r="R34" i="5"/>
  <c r="R42" i="5"/>
  <c r="Q30" i="5"/>
  <c r="Q31" i="5"/>
  <c r="Q32" i="5"/>
  <c r="Q33" i="5"/>
  <c r="Q34" i="5"/>
  <c r="Q35" i="5"/>
  <c r="Q37" i="5"/>
  <c r="Q38" i="5"/>
  <c r="Q39" i="5"/>
  <c r="Q40" i="5"/>
  <c r="Q41" i="5"/>
  <c r="Q42" i="5"/>
  <c r="Q43" i="5"/>
  <c r="Q44" i="5"/>
  <c r="Q23" i="5"/>
  <c r="Q24" i="5"/>
  <c r="Q25" i="5"/>
  <c r="Q26" i="5"/>
  <c r="Q27" i="5"/>
  <c r="Q22" i="5"/>
  <c r="S12" i="5"/>
  <c r="Q4" i="5"/>
  <c r="Q5" i="5"/>
  <c r="Q6" i="5"/>
  <c r="Q7" i="5"/>
  <c r="Q9" i="5"/>
  <c r="Q10" i="5"/>
  <c r="Q11" i="5"/>
  <c r="Q12" i="5"/>
  <c r="Q13" i="5"/>
  <c r="Q15" i="5"/>
  <c r="Q16" i="5"/>
  <c r="Q17" i="5"/>
  <c r="Q18" i="5"/>
  <c r="Q19" i="5"/>
  <c r="Q3" i="5"/>
  <c r="R54" i="4"/>
  <c r="R49" i="4"/>
  <c r="R50" i="4"/>
  <c r="R51" i="4"/>
  <c r="R52" i="4"/>
  <c r="R53" i="4"/>
  <c r="R48" i="4"/>
  <c r="S21" i="4"/>
  <c r="R21" i="4"/>
  <c r="R29" i="4"/>
  <c r="R28" i="4"/>
  <c r="R27" i="4"/>
  <c r="R26" i="4"/>
  <c r="R30" i="4" s="1"/>
  <c r="R25" i="4"/>
  <c r="R24" i="4"/>
  <c r="R7" i="4"/>
  <c r="L12" i="1"/>
  <c r="L11" i="1"/>
  <c r="L10" i="1"/>
  <c r="L9" i="1"/>
  <c r="L8" i="1"/>
  <c r="L7" i="1"/>
  <c r="L6" i="1"/>
  <c r="L5" i="1"/>
  <c r="L4" i="1"/>
  <c r="L3" i="1"/>
  <c r="J24" i="1"/>
  <c r="J2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H24" i="1"/>
  <c r="H2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I20" i="5"/>
  <c r="I10" i="2" l="1"/>
  <c r="H10" i="2"/>
  <c r="E10" i="2"/>
  <c r="F10" i="2"/>
  <c r="G10" i="2" l="1"/>
  <c r="G3" i="1"/>
  <c r="J44" i="5"/>
  <c r="I44" i="5"/>
  <c r="H44" i="5"/>
  <c r="F44" i="5"/>
  <c r="E44" i="5"/>
  <c r="I36" i="5"/>
  <c r="H36" i="5"/>
  <c r="F36" i="5"/>
  <c r="E36" i="5"/>
  <c r="L28" i="5"/>
  <c r="J28" i="5"/>
  <c r="I28" i="5"/>
  <c r="F28" i="5"/>
  <c r="E28" i="5"/>
  <c r="J20" i="5"/>
  <c r="F20" i="5"/>
  <c r="E20" i="5"/>
  <c r="P14" i="5"/>
  <c r="J14" i="5"/>
  <c r="I14" i="5"/>
  <c r="F14" i="5"/>
  <c r="E14" i="5"/>
  <c r="J8" i="5"/>
  <c r="I8" i="5"/>
  <c r="F8" i="5"/>
  <c r="E8" i="5"/>
  <c r="Q22" i="4"/>
  <c r="Q17" i="4"/>
  <c r="Q12" i="4"/>
  <c r="P7" i="4"/>
  <c r="O7" i="4"/>
  <c r="K7" i="4"/>
  <c r="I22" i="4"/>
  <c r="I17" i="4"/>
  <c r="I12" i="4"/>
  <c r="I7" i="4"/>
  <c r="J54" i="4"/>
  <c r="I54" i="4"/>
  <c r="F54" i="4"/>
  <c r="E54" i="4"/>
  <c r="G54" i="4" s="1"/>
  <c r="J46" i="4"/>
  <c r="I46" i="4"/>
  <c r="F46" i="4"/>
  <c r="E46" i="4"/>
  <c r="K38" i="4"/>
  <c r="J38" i="4"/>
  <c r="F38" i="4"/>
  <c r="E38" i="4"/>
  <c r="G38" i="4" s="1"/>
  <c r="K30" i="4"/>
  <c r="J30" i="4"/>
  <c r="F30" i="4"/>
  <c r="E30" i="4"/>
  <c r="G30" i="4" s="1"/>
  <c r="Q8" i="3"/>
  <c r="K8" i="3"/>
  <c r="J8" i="3"/>
  <c r="G8" i="3"/>
  <c r="F8" i="3"/>
  <c r="I9" i="7"/>
  <c r="H9" i="7"/>
  <c r="F9" i="7"/>
  <c r="E9" i="7"/>
  <c r="F22" i="1"/>
  <c r="E22" i="1"/>
  <c r="D22" i="1"/>
  <c r="F17" i="1"/>
  <c r="D17" i="1"/>
  <c r="G12" i="1"/>
  <c r="D12" i="1"/>
  <c r="C17" i="1"/>
  <c r="C12" i="1"/>
  <c r="C7" i="1"/>
  <c r="G7" i="1"/>
  <c r="E7" i="1"/>
  <c r="D7" i="1"/>
  <c r="G46" i="4" l="1"/>
  <c r="H8" i="3"/>
  <c r="G9" i="7"/>
</calcChain>
</file>

<file path=xl/sharedStrings.xml><?xml version="1.0" encoding="utf-8"?>
<sst xmlns="http://schemas.openxmlformats.org/spreadsheetml/2006/main" count="490" uniqueCount="68">
  <si>
    <t>read length</t>
  </si>
  <si>
    <t>error rate</t>
  </si>
  <si>
    <t>normal reads</t>
  </si>
  <si>
    <t>10kb</t>
  </si>
  <si>
    <t>15kb</t>
  </si>
  <si>
    <t>20kb</t>
  </si>
  <si>
    <t>25kb</t>
  </si>
  <si>
    <t>total unaligned reads</t>
  </si>
  <si>
    <t># false positives</t>
  </si>
  <si>
    <t># false + w single frag</t>
  </si>
  <si>
    <t>total</t>
  </si>
  <si>
    <t>insert</t>
  </si>
  <si>
    <t>host flanks</t>
  </si>
  <si>
    <t>hgt reads</t>
  </si>
  <si>
    <t>spike rate</t>
  </si>
  <si>
    <t>NORMAL unaligned reads</t>
  </si>
  <si>
    <t># HGT unaligned</t>
  </si>
  <si>
    <t>Total Hits</t>
  </si>
  <si>
    <t>#HGT hits</t>
  </si>
  <si>
    <t># true positives</t>
  </si>
  <si>
    <t># wrong HGT map</t>
  </si>
  <si>
    <t>#false corrected</t>
  </si>
  <si>
    <t>1.6kb</t>
  </si>
  <si>
    <t>9.2kb</t>
  </si>
  <si>
    <t>3kb</t>
  </si>
  <si>
    <t>8.5kb</t>
  </si>
  <si>
    <t>4.4kb</t>
  </si>
  <si>
    <t>7.8kb</t>
  </si>
  <si>
    <t>5.8kb</t>
  </si>
  <si>
    <t>7.1kb</t>
  </si>
  <si>
    <t>7.2kp</t>
  </si>
  <si>
    <t>6.4kb</t>
  </si>
  <si>
    <t>8.6kb</t>
  </si>
  <si>
    <t>5.7kb</t>
  </si>
  <si>
    <t>5kb</t>
  </si>
  <si>
    <t>insert length</t>
  </si>
  <si>
    <t># hgt reads</t>
  </si>
  <si>
    <t># HGT reads w incorrect mapping</t>
  </si>
  <si>
    <t>left host flank</t>
  </si>
  <si>
    <t>right host flank</t>
  </si>
  <si>
    <t>fragments made</t>
  </si>
  <si>
    <t>false positives: corrected</t>
  </si>
  <si>
    <t>7.6kb</t>
  </si>
  <si>
    <t>0kb</t>
  </si>
  <si>
    <t>12.4kb</t>
  </si>
  <si>
    <t>9.4kb</t>
  </si>
  <si>
    <t>6kb</t>
  </si>
  <si>
    <t>9kb</t>
  </si>
  <si>
    <t>3.4kb</t>
  </si>
  <si>
    <t>12kb</t>
  </si>
  <si>
    <t>.4kb</t>
  </si>
  <si>
    <t>NORMAL reads</t>
  </si>
  <si>
    <t># HGT hits w incorrect mapping</t>
  </si>
  <si>
    <t>align 1</t>
  </si>
  <si>
    <t xml:space="preserve">align 2 </t>
  </si>
  <si>
    <t xml:space="preserve">align 1 </t>
  </si>
  <si>
    <t>NORMAL hits</t>
  </si>
  <si>
    <t>align 2</t>
  </si>
  <si>
    <t>NORMAL Hits</t>
  </si>
  <si>
    <t>host flanks (symetric around insert)</t>
  </si>
  <si>
    <t>na</t>
  </si>
  <si>
    <t># HGT w incorrect mapping</t>
  </si>
  <si>
    <t xml:space="preserve">na </t>
  </si>
  <si>
    <t># false corrected</t>
  </si>
  <si>
    <t>#toal HGT hits</t>
  </si>
  <si>
    <t>7.2kb</t>
  </si>
  <si>
    <t>6.2kb</t>
  </si>
  <si>
    <t>min-fraction-aligned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</si>
</sst>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10" fontId="2" fillId="0" borderId="0" xfId="0" applyNumberFormat="1" applyFont="1"/>
    <xf numFmtId="9" fontId="2" fillId="0" borderId="0" xfId="0" applyNumberFormat="1" applyFont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DCFB-F4E1-EB46-9315-7363C2FDD0A4}">
  <dimension ref="A1:L24"/>
  <sheetViews>
    <sheetView workbookViewId="0">
      <selection activeCell="L13" sqref="L13"/>
    </sheetView>
  </sheetViews>
  <sheetFormatPr baseColWidth="10" defaultRowHeight="16" x14ac:dyDescent="0.2"/>
  <cols>
    <col min="1" max="1" width="10.1640625" bestFit="1" customWidth="1"/>
    <col min="2" max="2" width="8.83203125" bestFit="1" customWidth="1"/>
    <col min="3" max="3" width="11.6640625" bestFit="1" customWidth="1"/>
    <col min="4" max="4" width="18.1640625" bestFit="1" customWidth="1"/>
    <col min="5" max="5" width="13.83203125" bestFit="1" customWidth="1"/>
    <col min="6" max="6" width="17.83203125" bestFit="1" customWidth="1"/>
    <col min="7" max="7" width="14.6640625" bestFit="1" customWidth="1"/>
    <col min="8" max="8" width="21.1640625" bestFit="1" customWidth="1"/>
  </cols>
  <sheetData>
    <row r="1" spans="1:12" s="8" customFormat="1" x14ac:dyDescent="0.2">
      <c r="D1" s="11" t="s">
        <v>55</v>
      </c>
      <c r="E1" s="15" t="s">
        <v>54</v>
      </c>
      <c r="F1" s="15"/>
      <c r="G1" s="15"/>
    </row>
    <row r="2" spans="1:12" x14ac:dyDescent="0.2">
      <c r="A2" t="s">
        <v>0</v>
      </c>
      <c r="B2" t="s">
        <v>1</v>
      </c>
      <c r="C2" s="3" t="s">
        <v>2</v>
      </c>
      <c r="D2" s="3" t="s">
        <v>7</v>
      </c>
      <c r="E2" t="s">
        <v>8</v>
      </c>
      <c r="F2" t="s">
        <v>9</v>
      </c>
      <c r="G2" t="s">
        <v>63</v>
      </c>
    </row>
    <row r="3" spans="1:12" x14ac:dyDescent="0.2">
      <c r="A3" t="s">
        <v>3</v>
      </c>
      <c r="B3">
        <v>0.1</v>
      </c>
      <c r="C3" s="3">
        <v>5489</v>
      </c>
      <c r="D3" s="3">
        <v>4310</v>
      </c>
      <c r="E3">
        <v>42</v>
      </c>
      <c r="F3">
        <v>28</v>
      </c>
      <c r="G3">
        <f>42-28</f>
        <v>14</v>
      </c>
      <c r="H3">
        <f>E3/C3</f>
        <v>7.6516669703042446E-3</v>
      </c>
      <c r="J3">
        <f>G3/C3</f>
        <v>2.5505556567680817E-3</v>
      </c>
      <c r="L3">
        <f>AVERAGE(E3:E6)</f>
        <v>42.25</v>
      </c>
    </row>
    <row r="4" spans="1:12" x14ac:dyDescent="0.2">
      <c r="A4" t="s">
        <v>4</v>
      </c>
      <c r="B4">
        <v>0.1</v>
      </c>
      <c r="C4" s="3">
        <v>5489</v>
      </c>
      <c r="D4" s="3">
        <v>4453</v>
      </c>
      <c r="E4">
        <v>44</v>
      </c>
      <c r="F4">
        <v>33</v>
      </c>
      <c r="G4">
        <v>11</v>
      </c>
      <c r="H4">
        <f t="shared" ref="H4:H21" si="0">E4/C4</f>
        <v>8.0160320641282558E-3</v>
      </c>
      <c r="J4">
        <f t="shared" ref="J4:J21" si="1">G4/C4</f>
        <v>2.004008016032064E-3</v>
      </c>
      <c r="L4">
        <f>AVERAGE(E8:E11)</f>
        <v>38.75</v>
      </c>
    </row>
    <row r="5" spans="1:12" x14ac:dyDescent="0.2">
      <c r="A5" t="s">
        <v>5</v>
      </c>
      <c r="B5">
        <v>0.1</v>
      </c>
      <c r="C5" s="3">
        <v>5489</v>
      </c>
      <c r="D5" s="3">
        <v>4517</v>
      </c>
      <c r="E5">
        <v>39</v>
      </c>
      <c r="F5">
        <v>29</v>
      </c>
      <c r="G5">
        <v>10</v>
      </c>
      <c r="H5">
        <f t="shared" si="0"/>
        <v>7.1051193295682278E-3</v>
      </c>
      <c r="J5">
        <f t="shared" si="1"/>
        <v>1.8218254691200583E-3</v>
      </c>
      <c r="L5">
        <f>AVERAGE(E13:E16)</f>
        <v>44.5</v>
      </c>
    </row>
    <row r="6" spans="1:12" x14ac:dyDescent="0.2">
      <c r="A6" t="s">
        <v>6</v>
      </c>
      <c r="B6">
        <v>0.1</v>
      </c>
      <c r="C6" s="3">
        <v>5489</v>
      </c>
      <c r="D6" s="3">
        <v>4672</v>
      </c>
      <c r="E6">
        <v>44</v>
      </c>
      <c r="F6">
        <v>34</v>
      </c>
      <c r="G6">
        <v>10</v>
      </c>
      <c r="H6">
        <f t="shared" si="0"/>
        <v>8.0160320641282558E-3</v>
      </c>
      <c r="J6">
        <f t="shared" si="1"/>
        <v>1.8218254691200583E-3</v>
      </c>
      <c r="L6">
        <f>AVERAGE(E18:E21)</f>
        <v>38.5</v>
      </c>
    </row>
    <row r="7" spans="1:12" s="1" customFormat="1" x14ac:dyDescent="0.2">
      <c r="A7" s="1" t="s">
        <v>10</v>
      </c>
      <c r="C7" s="4">
        <f>SUM(C3:C6)</f>
        <v>21956</v>
      </c>
      <c r="D7" s="4">
        <f>SUM(D3:D6)</f>
        <v>17952</v>
      </c>
      <c r="E7" s="1">
        <f>SUM(E3:E6)</f>
        <v>169</v>
      </c>
      <c r="F7" s="1">
        <v>121</v>
      </c>
      <c r="G7" s="1">
        <f>169-121</f>
        <v>48</v>
      </c>
      <c r="H7">
        <f t="shared" si="0"/>
        <v>7.6972126070322467E-3</v>
      </c>
      <c r="J7">
        <f t="shared" si="1"/>
        <v>2.18619056294407E-3</v>
      </c>
      <c r="L7" s="1">
        <f>AVERAGE(L3:L6)</f>
        <v>41</v>
      </c>
    </row>
    <row r="8" spans="1:12" x14ac:dyDescent="0.2">
      <c r="A8" t="s">
        <v>3</v>
      </c>
      <c r="B8">
        <v>0.5</v>
      </c>
      <c r="C8">
        <v>5489</v>
      </c>
      <c r="D8" s="5">
        <v>4341</v>
      </c>
      <c r="E8">
        <v>46</v>
      </c>
      <c r="F8">
        <v>33</v>
      </c>
      <c r="G8">
        <v>13</v>
      </c>
      <c r="H8">
        <f t="shared" si="0"/>
        <v>8.3803971579522688E-3</v>
      </c>
      <c r="J8">
        <f t="shared" si="1"/>
        <v>2.3683731098560756E-3</v>
      </c>
      <c r="L8">
        <f>AVERAGE(G3:G6)</f>
        <v>11.25</v>
      </c>
    </row>
    <row r="9" spans="1:12" x14ac:dyDescent="0.2">
      <c r="A9" t="s">
        <v>4</v>
      </c>
      <c r="B9">
        <v>0.5</v>
      </c>
      <c r="C9">
        <v>5489</v>
      </c>
      <c r="D9" s="5">
        <v>4479</v>
      </c>
      <c r="E9">
        <v>39</v>
      </c>
      <c r="F9">
        <v>34</v>
      </c>
      <c r="G9">
        <v>5</v>
      </c>
      <c r="H9">
        <f t="shared" si="0"/>
        <v>7.1051193295682278E-3</v>
      </c>
      <c r="J9">
        <f t="shared" si="1"/>
        <v>9.1091273456002917E-4</v>
      </c>
      <c r="L9">
        <f>AVERAGE(G8:G11)</f>
        <v>9</v>
      </c>
    </row>
    <row r="10" spans="1:12" x14ac:dyDescent="0.2">
      <c r="A10" t="s">
        <v>5</v>
      </c>
      <c r="B10">
        <v>0.5</v>
      </c>
      <c r="C10">
        <v>5489</v>
      </c>
      <c r="D10" s="5">
        <v>4627</v>
      </c>
      <c r="E10">
        <v>39</v>
      </c>
      <c r="F10">
        <v>28</v>
      </c>
      <c r="G10">
        <v>11</v>
      </c>
      <c r="H10">
        <f t="shared" si="0"/>
        <v>7.1051193295682278E-3</v>
      </c>
      <c r="J10">
        <f t="shared" si="1"/>
        <v>2.004008016032064E-3</v>
      </c>
      <c r="L10">
        <f>AVERAGE(G13:G16)</f>
        <v>9.25</v>
      </c>
    </row>
    <row r="11" spans="1:12" x14ac:dyDescent="0.2">
      <c r="A11" t="s">
        <v>6</v>
      </c>
      <c r="B11">
        <v>0.5</v>
      </c>
      <c r="C11">
        <v>5489</v>
      </c>
      <c r="D11" s="5">
        <v>4662</v>
      </c>
      <c r="E11">
        <v>31</v>
      </c>
      <c r="F11">
        <v>24</v>
      </c>
      <c r="G11">
        <v>7</v>
      </c>
      <c r="H11">
        <f t="shared" si="0"/>
        <v>5.6476589542721811E-3</v>
      </c>
      <c r="J11">
        <f t="shared" si="1"/>
        <v>1.2752778283840408E-3</v>
      </c>
      <c r="L11">
        <f>AVERAGE(G18:G21)</f>
        <v>12.25</v>
      </c>
    </row>
    <row r="12" spans="1:12" s="1" customFormat="1" x14ac:dyDescent="0.2">
      <c r="A12" s="1" t="s">
        <v>10</v>
      </c>
      <c r="C12" s="1">
        <f>SUM(C8:C11)</f>
        <v>21956</v>
      </c>
      <c r="D12" s="6">
        <f>SUM(D8:D11)</f>
        <v>18109</v>
      </c>
      <c r="E12" s="1">
        <v>155</v>
      </c>
      <c r="F12" s="1">
        <v>121</v>
      </c>
      <c r="G12" s="1">
        <f>155-121</f>
        <v>34</v>
      </c>
      <c r="H12">
        <f t="shared" si="0"/>
        <v>7.0595736928402257E-3</v>
      </c>
      <c r="J12">
        <f t="shared" si="1"/>
        <v>1.5485516487520495E-3</v>
      </c>
      <c r="L12" s="1">
        <f>AVERAGE(L8:L11)</f>
        <v>10.4375</v>
      </c>
    </row>
    <row r="13" spans="1:12" x14ac:dyDescent="0.2">
      <c r="A13" t="s">
        <v>3</v>
      </c>
      <c r="B13">
        <v>1</v>
      </c>
      <c r="C13">
        <v>5489</v>
      </c>
      <c r="D13" s="5">
        <v>4343</v>
      </c>
      <c r="E13">
        <v>45</v>
      </c>
      <c r="F13">
        <v>37</v>
      </c>
      <c r="G13">
        <v>8</v>
      </c>
      <c r="H13">
        <f t="shared" si="0"/>
        <v>8.1982146110402623E-3</v>
      </c>
      <c r="J13">
        <f t="shared" si="1"/>
        <v>1.4574603752960467E-3</v>
      </c>
    </row>
    <row r="14" spans="1:12" x14ac:dyDescent="0.2">
      <c r="A14" t="s">
        <v>4</v>
      </c>
      <c r="B14">
        <v>1</v>
      </c>
      <c r="C14">
        <v>5489</v>
      </c>
      <c r="D14" s="5">
        <v>4487</v>
      </c>
      <c r="E14">
        <v>34</v>
      </c>
      <c r="F14">
        <v>27</v>
      </c>
      <c r="G14">
        <v>7</v>
      </c>
      <c r="H14">
        <f t="shared" si="0"/>
        <v>6.1942065950081979E-3</v>
      </c>
      <c r="J14">
        <f t="shared" si="1"/>
        <v>1.2752778283840408E-3</v>
      </c>
    </row>
    <row r="15" spans="1:12" x14ac:dyDescent="0.2">
      <c r="A15" t="s">
        <v>5</v>
      </c>
      <c r="B15">
        <v>1</v>
      </c>
      <c r="C15">
        <v>5489</v>
      </c>
      <c r="D15" s="5">
        <v>4594</v>
      </c>
      <c r="E15">
        <v>56</v>
      </c>
      <c r="F15">
        <v>42</v>
      </c>
      <c r="G15">
        <v>14</v>
      </c>
      <c r="H15">
        <f t="shared" si="0"/>
        <v>1.0202222627072327E-2</v>
      </c>
      <c r="J15">
        <f t="shared" si="1"/>
        <v>2.5505556567680817E-3</v>
      </c>
    </row>
    <row r="16" spans="1:12" x14ac:dyDescent="0.2">
      <c r="A16" t="s">
        <v>6</v>
      </c>
      <c r="B16">
        <v>1</v>
      </c>
      <c r="C16">
        <v>5489</v>
      </c>
      <c r="D16" s="5">
        <v>4681</v>
      </c>
      <c r="E16">
        <v>43</v>
      </c>
      <c r="F16">
        <v>35</v>
      </c>
      <c r="G16">
        <v>8</v>
      </c>
      <c r="H16">
        <f t="shared" si="0"/>
        <v>7.8338495172162511E-3</v>
      </c>
      <c r="J16">
        <f t="shared" si="1"/>
        <v>1.4574603752960467E-3</v>
      </c>
    </row>
    <row r="17" spans="1:10" s="1" customFormat="1" x14ac:dyDescent="0.2">
      <c r="A17" s="1" t="s">
        <v>10</v>
      </c>
      <c r="C17" s="1">
        <f>SUM(C13:C16)</f>
        <v>21956</v>
      </c>
      <c r="D17" s="6">
        <f>SUM(D13:D16)</f>
        <v>18105</v>
      </c>
      <c r="E17" s="1">
        <v>178</v>
      </c>
      <c r="F17" s="1">
        <f>178-33</f>
        <v>145</v>
      </c>
      <c r="G17" s="1">
        <v>33</v>
      </c>
      <c r="H17">
        <f t="shared" si="0"/>
        <v>8.10712333758426E-3</v>
      </c>
      <c r="J17">
        <f t="shared" si="1"/>
        <v>1.5030060120240481E-3</v>
      </c>
    </row>
    <row r="18" spans="1:10" x14ac:dyDescent="0.2">
      <c r="A18" s="2" t="s">
        <v>3</v>
      </c>
      <c r="B18" s="2">
        <v>5</v>
      </c>
      <c r="C18" s="2">
        <v>5489</v>
      </c>
      <c r="D18" s="5">
        <v>4472</v>
      </c>
      <c r="E18">
        <v>47</v>
      </c>
      <c r="F18" s="2">
        <v>34</v>
      </c>
      <c r="G18" s="2">
        <v>13</v>
      </c>
      <c r="H18">
        <f t="shared" si="0"/>
        <v>8.5625797048642736E-3</v>
      </c>
      <c r="J18">
        <f t="shared" si="1"/>
        <v>2.3683731098560756E-3</v>
      </c>
    </row>
    <row r="19" spans="1:10" x14ac:dyDescent="0.2">
      <c r="A19" s="2" t="s">
        <v>4</v>
      </c>
      <c r="B19" s="2">
        <v>5</v>
      </c>
      <c r="C19" s="2">
        <v>5489</v>
      </c>
      <c r="D19" s="5">
        <v>4594</v>
      </c>
      <c r="E19">
        <v>38</v>
      </c>
      <c r="F19" s="2">
        <v>25</v>
      </c>
      <c r="G19" s="2">
        <v>13</v>
      </c>
      <c r="H19">
        <f t="shared" si="0"/>
        <v>6.9229367826562213E-3</v>
      </c>
      <c r="J19">
        <f t="shared" si="1"/>
        <v>2.3683731098560756E-3</v>
      </c>
    </row>
    <row r="20" spans="1:10" x14ac:dyDescent="0.2">
      <c r="A20" s="2" t="s">
        <v>5</v>
      </c>
      <c r="B20" s="2">
        <v>5</v>
      </c>
      <c r="C20" s="2">
        <v>5489</v>
      </c>
      <c r="D20" s="5">
        <v>4690</v>
      </c>
      <c r="E20">
        <v>35</v>
      </c>
      <c r="F20" s="2">
        <v>24</v>
      </c>
      <c r="G20" s="2">
        <v>11</v>
      </c>
      <c r="H20">
        <f t="shared" si="0"/>
        <v>6.3763891419202044E-3</v>
      </c>
      <c r="J20">
        <f t="shared" si="1"/>
        <v>2.004008016032064E-3</v>
      </c>
    </row>
    <row r="21" spans="1:10" x14ac:dyDescent="0.2">
      <c r="A21" s="2" t="s">
        <v>6</v>
      </c>
      <c r="B21" s="2">
        <v>5</v>
      </c>
      <c r="C21" s="2">
        <v>5489</v>
      </c>
      <c r="D21" s="5">
        <v>4773</v>
      </c>
      <c r="E21">
        <v>34</v>
      </c>
      <c r="F21" s="2">
        <v>22</v>
      </c>
      <c r="G21" s="2">
        <v>12</v>
      </c>
      <c r="H21">
        <f t="shared" si="0"/>
        <v>6.1942065950081979E-3</v>
      </c>
      <c r="J21">
        <f t="shared" si="1"/>
        <v>2.18619056294407E-3</v>
      </c>
    </row>
    <row r="22" spans="1:10" x14ac:dyDescent="0.2">
      <c r="A22" s="2" t="s">
        <v>10</v>
      </c>
      <c r="B22" s="2"/>
      <c r="C22" s="2">
        <v>21956</v>
      </c>
      <c r="D22" s="5">
        <f>SUM(D18:D21)</f>
        <v>18529</v>
      </c>
      <c r="E22">
        <f>SUM(E18:E21)</f>
        <v>154</v>
      </c>
      <c r="F22">
        <f>154-49</f>
        <v>105</v>
      </c>
      <c r="G22">
        <v>49</v>
      </c>
    </row>
    <row r="23" spans="1:10" x14ac:dyDescent="0.2">
      <c r="H23">
        <f>AVERAGE(H3:H21)</f>
        <v>7.4934558111438175E-3</v>
      </c>
      <c r="J23">
        <f>AVERAGE(J3:J21)</f>
        <v>1.8769596609486917E-3</v>
      </c>
    </row>
    <row r="24" spans="1:10" x14ac:dyDescent="0.2">
      <c r="H24">
        <f>H23*100</f>
        <v>0.74934558111438176</v>
      </c>
      <c r="J24">
        <f>J23*100</f>
        <v>0.18769596609486916</v>
      </c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DD37-F54F-0C43-A96E-820033A01EFB}">
  <dimension ref="A1:P10"/>
  <sheetViews>
    <sheetView workbookViewId="0">
      <selection activeCell="K15" sqref="K15:L27"/>
    </sheetView>
  </sheetViews>
  <sheetFormatPr baseColWidth="10" defaultRowHeight="16" x14ac:dyDescent="0.2"/>
  <cols>
    <col min="3" max="3" width="11.83203125" bestFit="1" customWidth="1"/>
    <col min="7" max="7" width="10.83203125" style="3"/>
    <col min="8" max="8" width="21.6640625" bestFit="1" customWidth="1"/>
    <col min="9" max="9" width="14.1640625" style="3" bestFit="1" customWidth="1"/>
    <col min="10" max="10" width="12.5" bestFit="1" customWidth="1"/>
    <col min="11" max="11" width="13.33203125" bestFit="1" customWidth="1"/>
    <col min="12" max="12" width="26.33203125" bestFit="1" customWidth="1"/>
    <col min="13" max="13" width="13.83203125" bestFit="1" customWidth="1"/>
    <col min="14" max="15" width="17.83203125" bestFit="1" customWidth="1"/>
    <col min="16" max="16" width="21.6640625" bestFit="1" customWidth="1"/>
  </cols>
  <sheetData>
    <row r="1" spans="1:16" s="8" customFormat="1" x14ac:dyDescent="0.2">
      <c r="A1" s="11"/>
      <c r="B1" s="11"/>
      <c r="C1" s="11"/>
      <c r="D1" s="11"/>
      <c r="E1" s="11"/>
      <c r="F1" s="11"/>
      <c r="G1" s="10"/>
      <c r="H1" s="16" t="s">
        <v>53</v>
      </c>
      <c r="I1" s="17"/>
      <c r="J1" s="16" t="s">
        <v>57</v>
      </c>
      <c r="K1" s="15"/>
      <c r="L1" s="15"/>
      <c r="M1" s="15"/>
      <c r="N1" s="15"/>
      <c r="O1" s="15"/>
      <c r="P1" s="11"/>
    </row>
    <row r="2" spans="1:16" x14ac:dyDescent="0.2">
      <c r="A2" t="s">
        <v>0</v>
      </c>
      <c r="B2" t="s">
        <v>11</v>
      </c>
      <c r="C2" t="s">
        <v>12</v>
      </c>
      <c r="D2" t="s">
        <v>1</v>
      </c>
      <c r="E2" t="s">
        <v>13</v>
      </c>
      <c r="F2" t="s">
        <v>2</v>
      </c>
      <c r="G2" s="3" t="s">
        <v>14</v>
      </c>
      <c r="H2" t="s">
        <v>15</v>
      </c>
      <c r="I2" s="3" t="s">
        <v>16</v>
      </c>
      <c r="J2" t="s">
        <v>64</v>
      </c>
      <c r="K2" t="s">
        <v>19</v>
      </c>
      <c r="L2" t="s">
        <v>52</v>
      </c>
      <c r="M2" t="s">
        <v>8</v>
      </c>
      <c r="N2" t="s">
        <v>9</v>
      </c>
      <c r="O2" t="s">
        <v>21</v>
      </c>
      <c r="P2" s="2"/>
    </row>
    <row r="3" spans="1:16" x14ac:dyDescent="0.2">
      <c r="A3" t="s">
        <v>5</v>
      </c>
      <c r="B3" t="s">
        <v>22</v>
      </c>
      <c r="C3" t="s">
        <v>23</v>
      </c>
      <c r="D3">
        <v>0.5</v>
      </c>
      <c r="E3">
        <v>250</v>
      </c>
      <c r="F3">
        <v>2485</v>
      </c>
      <c r="G3" s="3">
        <v>9.14</v>
      </c>
      <c r="I3" s="3">
        <v>211</v>
      </c>
      <c r="J3">
        <v>3</v>
      </c>
      <c r="K3">
        <v>0</v>
      </c>
      <c r="L3">
        <v>3</v>
      </c>
      <c r="P3" s="2"/>
    </row>
    <row r="4" spans="1:16" x14ac:dyDescent="0.2">
      <c r="A4" t="s">
        <v>5</v>
      </c>
      <c r="B4" t="s">
        <v>24</v>
      </c>
      <c r="C4" t="s">
        <v>25</v>
      </c>
      <c r="D4">
        <v>0.5</v>
      </c>
      <c r="E4">
        <v>250</v>
      </c>
      <c r="F4">
        <v>2485</v>
      </c>
      <c r="G4" s="3">
        <v>9.14</v>
      </c>
      <c r="I4" s="3">
        <v>224</v>
      </c>
      <c r="J4">
        <v>215</v>
      </c>
      <c r="K4">
        <v>215</v>
      </c>
      <c r="L4">
        <v>0</v>
      </c>
      <c r="P4" s="2"/>
    </row>
    <row r="5" spans="1:16" x14ac:dyDescent="0.2">
      <c r="A5" t="s">
        <v>5</v>
      </c>
      <c r="B5" t="s">
        <v>26</v>
      </c>
      <c r="C5" t="s">
        <v>27</v>
      </c>
      <c r="D5">
        <v>0.5</v>
      </c>
      <c r="E5">
        <v>250</v>
      </c>
      <c r="F5">
        <v>2485</v>
      </c>
      <c r="G5" s="3">
        <v>9.14</v>
      </c>
      <c r="I5" s="3">
        <v>225</v>
      </c>
      <c r="J5">
        <v>218</v>
      </c>
      <c r="K5">
        <v>218</v>
      </c>
      <c r="L5">
        <v>1</v>
      </c>
      <c r="P5" s="2"/>
    </row>
    <row r="6" spans="1:16" x14ac:dyDescent="0.2">
      <c r="A6" t="s">
        <v>5</v>
      </c>
      <c r="B6" t="s">
        <v>28</v>
      </c>
      <c r="C6" t="s">
        <v>29</v>
      </c>
      <c r="D6">
        <v>0.5</v>
      </c>
      <c r="E6">
        <v>250</v>
      </c>
      <c r="F6">
        <v>2485</v>
      </c>
      <c r="G6" s="3">
        <v>9.14</v>
      </c>
      <c r="I6" s="3">
        <v>230</v>
      </c>
      <c r="J6">
        <v>221</v>
      </c>
      <c r="K6">
        <v>221</v>
      </c>
      <c r="L6">
        <v>0</v>
      </c>
      <c r="P6" s="2"/>
    </row>
    <row r="7" spans="1:16" x14ac:dyDescent="0.2">
      <c r="A7" t="s">
        <v>5</v>
      </c>
      <c r="B7" t="s">
        <v>65</v>
      </c>
      <c r="C7" t="s">
        <v>31</v>
      </c>
      <c r="D7">
        <v>0.5</v>
      </c>
      <c r="E7">
        <v>250</v>
      </c>
      <c r="F7">
        <v>2485</v>
      </c>
      <c r="G7" s="3">
        <v>9.14</v>
      </c>
      <c r="I7" s="3">
        <v>233</v>
      </c>
      <c r="J7">
        <v>223</v>
      </c>
      <c r="K7">
        <v>223</v>
      </c>
      <c r="L7">
        <v>1</v>
      </c>
      <c r="P7" s="2"/>
    </row>
    <row r="8" spans="1:16" x14ac:dyDescent="0.2">
      <c r="A8" t="s">
        <v>5</v>
      </c>
      <c r="B8" t="s">
        <v>32</v>
      </c>
      <c r="C8" t="s">
        <v>33</v>
      </c>
      <c r="D8">
        <v>0.5</v>
      </c>
      <c r="E8">
        <v>250</v>
      </c>
      <c r="F8">
        <v>2485</v>
      </c>
      <c r="G8" s="3">
        <v>9.14</v>
      </c>
      <c r="I8" s="3">
        <v>237</v>
      </c>
      <c r="J8">
        <v>226</v>
      </c>
      <c r="K8">
        <v>226</v>
      </c>
      <c r="L8">
        <v>0</v>
      </c>
      <c r="P8" s="2"/>
    </row>
    <row r="9" spans="1:16" x14ac:dyDescent="0.2">
      <c r="A9" t="s">
        <v>5</v>
      </c>
      <c r="B9" t="s">
        <v>3</v>
      </c>
      <c r="C9" t="s">
        <v>34</v>
      </c>
      <c r="D9">
        <v>0.5</v>
      </c>
      <c r="E9">
        <v>250</v>
      </c>
      <c r="F9">
        <v>2485</v>
      </c>
      <c r="G9" s="3">
        <v>9.14</v>
      </c>
      <c r="I9" s="3">
        <v>250</v>
      </c>
      <c r="J9">
        <v>189</v>
      </c>
      <c r="K9">
        <v>189</v>
      </c>
      <c r="L9">
        <v>0</v>
      </c>
    </row>
    <row r="10" spans="1:16" x14ac:dyDescent="0.2">
      <c r="E10">
        <f>SUM(E3:E9)</f>
        <v>1750</v>
      </c>
      <c r="F10">
        <f>SUM(F3:F9)</f>
        <v>17395</v>
      </c>
      <c r="G10" s="3">
        <f>(E10/F10)*100</f>
        <v>10.06036217303823</v>
      </c>
      <c r="H10">
        <f>3680-1610</f>
        <v>2070</v>
      </c>
      <c r="I10" s="3">
        <f>SUM(I3:I9)</f>
        <v>1610</v>
      </c>
      <c r="J10">
        <v>1295</v>
      </c>
      <c r="K10">
        <v>1290</v>
      </c>
      <c r="L10">
        <v>5</v>
      </c>
      <c r="M10">
        <v>19</v>
      </c>
      <c r="N10">
        <v>14</v>
      </c>
      <c r="O10">
        <v>5</v>
      </c>
    </row>
  </sheetData>
  <mergeCells count="2">
    <mergeCell ref="H1:I1"/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B3D5-D973-5A4F-BC44-66A2BE302A94}">
  <dimension ref="A1:Q8"/>
  <sheetViews>
    <sheetView workbookViewId="0">
      <selection activeCell="M16" sqref="M16:M24"/>
    </sheetView>
  </sheetViews>
  <sheetFormatPr baseColWidth="10" defaultRowHeight="16" x14ac:dyDescent="0.2"/>
  <cols>
    <col min="9" max="9" width="18.1640625" bestFit="1" customWidth="1"/>
    <col min="10" max="10" width="14.1640625" bestFit="1" customWidth="1"/>
    <col min="11" max="11" width="11.6640625" bestFit="1" customWidth="1"/>
    <col min="12" max="12" width="9" bestFit="1" customWidth="1"/>
    <col min="13" max="13" width="13.33203125" bestFit="1" customWidth="1"/>
    <col min="14" max="14" width="26.33203125" bestFit="1" customWidth="1"/>
    <col min="15" max="15" width="13.83203125" bestFit="1" customWidth="1"/>
    <col min="16" max="16" width="17.83203125" bestFit="1" customWidth="1"/>
    <col min="17" max="17" width="21.6640625" bestFit="1" customWidth="1"/>
  </cols>
  <sheetData>
    <row r="1" spans="1:17" s="8" customFormat="1" x14ac:dyDescent="0.2">
      <c r="I1" s="15" t="s">
        <v>55</v>
      </c>
      <c r="J1" s="15"/>
      <c r="K1" s="15" t="s">
        <v>57</v>
      </c>
      <c r="L1" s="15"/>
      <c r="M1" s="15"/>
      <c r="N1" s="15"/>
      <c r="O1" s="15"/>
      <c r="P1" s="15"/>
      <c r="Q1" s="15"/>
    </row>
    <row r="2" spans="1:17" x14ac:dyDescent="0.2">
      <c r="A2" t="s">
        <v>0</v>
      </c>
      <c r="B2" t="s">
        <v>11</v>
      </c>
      <c r="C2" t="s">
        <v>38</v>
      </c>
      <c r="D2" t="s">
        <v>39</v>
      </c>
      <c r="E2" t="s">
        <v>1</v>
      </c>
      <c r="F2" t="s">
        <v>13</v>
      </c>
      <c r="G2" t="s">
        <v>2</v>
      </c>
      <c r="H2" t="s">
        <v>14</v>
      </c>
      <c r="I2" t="s">
        <v>51</v>
      </c>
      <c r="J2" t="s">
        <v>16</v>
      </c>
      <c r="K2" t="s">
        <v>56</v>
      </c>
      <c r="L2" t="s">
        <v>18</v>
      </c>
      <c r="M2" t="s">
        <v>19</v>
      </c>
      <c r="N2" t="s">
        <v>52</v>
      </c>
      <c r="O2" t="s">
        <v>8</v>
      </c>
      <c r="P2" t="s">
        <v>9</v>
      </c>
      <c r="Q2" t="s">
        <v>41</v>
      </c>
    </row>
    <row r="3" spans="1:17" x14ac:dyDescent="0.2">
      <c r="A3" t="s">
        <v>5</v>
      </c>
      <c r="B3" t="s">
        <v>42</v>
      </c>
      <c r="C3" t="s">
        <v>43</v>
      </c>
      <c r="D3" t="s">
        <v>44</v>
      </c>
      <c r="E3">
        <v>0.5</v>
      </c>
      <c r="F3">
        <v>500</v>
      </c>
      <c r="G3">
        <v>2485</v>
      </c>
      <c r="J3">
        <v>444</v>
      </c>
      <c r="M3">
        <v>438</v>
      </c>
      <c r="N3">
        <v>2</v>
      </c>
    </row>
    <row r="4" spans="1:17" x14ac:dyDescent="0.2">
      <c r="A4" t="s">
        <v>5</v>
      </c>
      <c r="B4" t="s">
        <v>42</v>
      </c>
      <c r="C4" t="s">
        <v>24</v>
      </c>
      <c r="D4" t="s">
        <v>45</v>
      </c>
      <c r="E4">
        <v>0.5</v>
      </c>
      <c r="F4">
        <v>500</v>
      </c>
      <c r="G4">
        <v>2485</v>
      </c>
      <c r="J4">
        <v>474</v>
      </c>
      <c r="M4">
        <v>455</v>
      </c>
      <c r="N4">
        <v>0</v>
      </c>
    </row>
    <row r="5" spans="1:17" x14ac:dyDescent="0.2">
      <c r="A5" t="s">
        <v>5</v>
      </c>
      <c r="B5" t="s">
        <v>42</v>
      </c>
      <c r="C5" t="s">
        <v>46</v>
      </c>
      <c r="D5" t="s">
        <v>31</v>
      </c>
      <c r="E5">
        <v>0.5</v>
      </c>
      <c r="F5">
        <v>500</v>
      </c>
      <c r="G5">
        <v>2485</v>
      </c>
      <c r="J5">
        <v>466</v>
      </c>
      <c r="M5">
        <v>451</v>
      </c>
      <c r="N5">
        <v>0</v>
      </c>
    </row>
    <row r="6" spans="1:17" x14ac:dyDescent="0.2">
      <c r="A6" t="s">
        <v>5</v>
      </c>
      <c r="B6" t="s">
        <v>42</v>
      </c>
      <c r="C6" t="s">
        <v>47</v>
      </c>
      <c r="D6" t="s">
        <v>48</v>
      </c>
      <c r="E6">
        <v>0.5</v>
      </c>
      <c r="F6">
        <v>500</v>
      </c>
      <c r="G6">
        <v>2485</v>
      </c>
      <c r="J6">
        <v>471</v>
      </c>
      <c r="M6">
        <v>458</v>
      </c>
      <c r="N6">
        <v>2</v>
      </c>
    </row>
    <row r="7" spans="1:17" x14ac:dyDescent="0.2">
      <c r="A7" t="s">
        <v>5</v>
      </c>
      <c r="B7" t="s">
        <v>42</v>
      </c>
      <c r="C7" t="s">
        <v>49</v>
      </c>
      <c r="D7" t="s">
        <v>50</v>
      </c>
      <c r="E7">
        <v>0.5</v>
      </c>
      <c r="F7">
        <v>500</v>
      </c>
      <c r="G7">
        <v>2485</v>
      </c>
      <c r="J7">
        <v>451</v>
      </c>
      <c r="M7">
        <v>440</v>
      </c>
      <c r="N7">
        <v>0</v>
      </c>
    </row>
    <row r="8" spans="1:17" x14ac:dyDescent="0.2">
      <c r="A8" t="s">
        <v>10</v>
      </c>
      <c r="F8">
        <f>SUM(F3:F7)</f>
        <v>2500</v>
      </c>
      <c r="G8">
        <f>SUM(G3:G7)</f>
        <v>12425</v>
      </c>
      <c r="H8">
        <f>F8/G8</f>
        <v>0.2012072434607646</v>
      </c>
      <c r="I8">
        <v>2070</v>
      </c>
      <c r="J8">
        <f>SUM(J3:J7)</f>
        <v>2306</v>
      </c>
      <c r="K8">
        <f>L8+O8</f>
        <v>2271</v>
      </c>
      <c r="L8">
        <v>2242</v>
      </c>
      <c r="M8">
        <v>2238</v>
      </c>
      <c r="N8">
        <v>4</v>
      </c>
      <c r="O8">
        <v>29</v>
      </c>
      <c r="P8">
        <v>17</v>
      </c>
      <c r="Q8">
        <f>29-17</f>
        <v>12</v>
      </c>
    </row>
  </sheetData>
  <mergeCells count="2">
    <mergeCell ref="I1:J1"/>
    <mergeCell ref="K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D409-E868-0E40-8C59-6771D0AF1891}">
  <dimension ref="A1:S54"/>
  <sheetViews>
    <sheetView tabSelected="1" topLeftCell="B23" zoomScaleNormal="100" workbookViewId="0">
      <selection activeCell="O51" sqref="O51"/>
    </sheetView>
  </sheetViews>
  <sheetFormatPr baseColWidth="10" defaultRowHeight="16" x14ac:dyDescent="0.2"/>
  <cols>
    <col min="3" max="3" width="29.83203125" bestFit="1" customWidth="1"/>
    <col min="6" max="6" width="11.6640625" bestFit="1" customWidth="1"/>
    <col min="8" max="8" width="15.83203125" style="3" bestFit="1" customWidth="1"/>
    <col min="9" max="9" width="21.6640625" bestFit="1" customWidth="1"/>
    <col min="10" max="10" width="14.1640625" style="3" bestFit="1" customWidth="1"/>
    <col min="11" max="11" width="12" bestFit="1" customWidth="1"/>
    <col min="13" max="13" width="13.33203125" bestFit="1" customWidth="1"/>
    <col min="14" max="14" width="15" bestFit="1" customWidth="1"/>
    <col min="15" max="15" width="13.83203125" bestFit="1" customWidth="1"/>
    <col min="16" max="16" width="17.83203125" bestFit="1" customWidth="1"/>
    <col min="17" max="17" width="14.33203125" bestFit="1" customWidth="1"/>
  </cols>
  <sheetData>
    <row r="1" spans="1:18" s="8" customFormat="1" x14ac:dyDescent="0.2">
      <c r="H1" s="9"/>
      <c r="I1" s="16" t="s">
        <v>53</v>
      </c>
      <c r="J1" s="17"/>
      <c r="K1" s="16" t="s">
        <v>57</v>
      </c>
      <c r="L1" s="15"/>
      <c r="M1" s="15"/>
      <c r="N1" s="15"/>
      <c r="O1" s="15"/>
      <c r="P1" s="15"/>
      <c r="Q1" s="15"/>
    </row>
    <row r="2" spans="1:18" x14ac:dyDescent="0.2">
      <c r="A2" t="s">
        <v>0</v>
      </c>
      <c r="B2" t="s">
        <v>11</v>
      </c>
      <c r="C2" t="s">
        <v>59</v>
      </c>
      <c r="D2" t="s">
        <v>1</v>
      </c>
      <c r="E2" t="s">
        <v>13</v>
      </c>
      <c r="F2" t="s">
        <v>2</v>
      </c>
      <c r="G2" t="s">
        <v>14</v>
      </c>
      <c r="H2" s="3" t="s">
        <v>67</v>
      </c>
      <c r="I2" t="s">
        <v>15</v>
      </c>
      <c r="J2" s="3" t="s">
        <v>16</v>
      </c>
      <c r="K2" t="s">
        <v>58</v>
      </c>
      <c r="L2" t="s">
        <v>18</v>
      </c>
      <c r="M2" t="s">
        <v>19</v>
      </c>
      <c r="N2" t="s">
        <v>20</v>
      </c>
      <c r="O2" t="s">
        <v>8</v>
      </c>
      <c r="P2" t="s">
        <v>9</v>
      </c>
      <c r="Q2" t="s">
        <v>21</v>
      </c>
    </row>
    <row r="3" spans="1:18" x14ac:dyDescent="0.2">
      <c r="A3" t="s">
        <v>3</v>
      </c>
      <c r="B3">
        <v>0</v>
      </c>
      <c r="C3" t="s">
        <v>60</v>
      </c>
      <c r="D3">
        <v>0.5</v>
      </c>
      <c r="E3">
        <v>0</v>
      </c>
      <c r="F3">
        <v>250</v>
      </c>
      <c r="G3">
        <v>0</v>
      </c>
      <c r="H3" s="3">
        <v>0.15</v>
      </c>
      <c r="I3">
        <v>2646</v>
      </c>
      <c r="J3" s="3">
        <v>0</v>
      </c>
      <c r="K3">
        <v>27</v>
      </c>
      <c r="L3">
        <v>0</v>
      </c>
      <c r="M3">
        <v>0</v>
      </c>
      <c r="N3">
        <v>0</v>
      </c>
      <c r="O3">
        <v>27</v>
      </c>
      <c r="P3">
        <v>18</v>
      </c>
      <c r="Q3">
        <v>9</v>
      </c>
    </row>
    <row r="4" spans="1:18" x14ac:dyDescent="0.2">
      <c r="A4" t="s">
        <v>4</v>
      </c>
      <c r="B4">
        <v>0</v>
      </c>
      <c r="C4" t="s">
        <v>60</v>
      </c>
      <c r="D4">
        <v>0.5</v>
      </c>
      <c r="E4">
        <v>0</v>
      </c>
      <c r="F4">
        <v>250</v>
      </c>
      <c r="G4">
        <v>0</v>
      </c>
      <c r="H4" s="3">
        <v>0.15</v>
      </c>
      <c r="I4">
        <v>2833</v>
      </c>
      <c r="J4" s="3">
        <v>0</v>
      </c>
      <c r="K4">
        <v>26</v>
      </c>
      <c r="L4">
        <v>0</v>
      </c>
      <c r="M4">
        <v>0</v>
      </c>
      <c r="N4">
        <v>0</v>
      </c>
      <c r="O4">
        <v>26</v>
      </c>
      <c r="P4">
        <v>22</v>
      </c>
      <c r="Q4">
        <v>4</v>
      </c>
    </row>
    <row r="5" spans="1:18" x14ac:dyDescent="0.2">
      <c r="A5" t="s">
        <v>5</v>
      </c>
      <c r="B5">
        <v>0</v>
      </c>
      <c r="C5" t="s">
        <v>60</v>
      </c>
      <c r="D5">
        <v>0.5</v>
      </c>
      <c r="E5">
        <v>0</v>
      </c>
      <c r="F5">
        <v>250</v>
      </c>
      <c r="G5">
        <v>0</v>
      </c>
      <c r="H5" s="3">
        <v>0.15</v>
      </c>
      <c r="I5">
        <v>2964</v>
      </c>
      <c r="J5" s="3">
        <v>0</v>
      </c>
      <c r="K5">
        <v>28</v>
      </c>
      <c r="L5">
        <v>0</v>
      </c>
      <c r="M5">
        <v>0</v>
      </c>
      <c r="N5">
        <v>0</v>
      </c>
      <c r="O5">
        <v>28</v>
      </c>
      <c r="P5">
        <v>20</v>
      </c>
      <c r="Q5">
        <v>8</v>
      </c>
    </row>
    <row r="6" spans="1:18" x14ac:dyDescent="0.2">
      <c r="A6" t="s">
        <v>6</v>
      </c>
      <c r="B6">
        <v>0</v>
      </c>
      <c r="C6" t="s">
        <v>60</v>
      </c>
      <c r="D6">
        <v>0.5</v>
      </c>
      <c r="E6">
        <v>0</v>
      </c>
      <c r="F6">
        <v>250</v>
      </c>
      <c r="G6">
        <v>0</v>
      </c>
      <c r="H6" s="3">
        <v>0.15</v>
      </c>
      <c r="I6">
        <v>3092</v>
      </c>
      <c r="J6" s="3">
        <v>0</v>
      </c>
      <c r="K6">
        <v>24</v>
      </c>
      <c r="L6">
        <v>0</v>
      </c>
      <c r="M6">
        <v>0</v>
      </c>
      <c r="N6">
        <v>0</v>
      </c>
      <c r="O6">
        <v>24</v>
      </c>
      <c r="P6">
        <v>17</v>
      </c>
      <c r="Q6">
        <v>7</v>
      </c>
    </row>
    <row r="7" spans="1:18" s="1" customFormat="1" x14ac:dyDescent="0.2">
      <c r="A7" s="1" t="s">
        <v>10</v>
      </c>
      <c r="F7" s="1">
        <v>1750</v>
      </c>
      <c r="H7" s="4"/>
      <c r="I7" s="1">
        <f>SUM(I3:I6)</f>
        <v>11535</v>
      </c>
      <c r="J7" s="4"/>
      <c r="K7" s="1">
        <f>SUM(K3:K6)</f>
        <v>105</v>
      </c>
      <c r="O7" s="1">
        <f>SUM(O3:O6)</f>
        <v>105</v>
      </c>
      <c r="P7" s="1">
        <f>105-26</f>
        <v>79</v>
      </c>
      <c r="Q7" s="1">
        <v>26</v>
      </c>
      <c r="R7" s="1">
        <f>7/250</f>
        <v>2.8000000000000001E-2</v>
      </c>
    </row>
    <row r="8" spans="1:18" x14ac:dyDescent="0.2">
      <c r="A8" t="s">
        <v>3</v>
      </c>
      <c r="B8">
        <v>0</v>
      </c>
      <c r="C8" t="s">
        <v>60</v>
      </c>
      <c r="D8">
        <v>0.5</v>
      </c>
      <c r="E8">
        <v>0</v>
      </c>
      <c r="F8">
        <v>250</v>
      </c>
      <c r="G8">
        <v>0</v>
      </c>
      <c r="H8" s="3">
        <v>0.35</v>
      </c>
      <c r="I8">
        <v>3762</v>
      </c>
      <c r="J8" s="3">
        <v>0</v>
      </c>
      <c r="K8">
        <v>38</v>
      </c>
      <c r="L8">
        <v>0</v>
      </c>
      <c r="M8">
        <v>0</v>
      </c>
      <c r="N8">
        <v>0</v>
      </c>
      <c r="O8">
        <v>38</v>
      </c>
      <c r="P8">
        <v>26</v>
      </c>
      <c r="Q8">
        <v>12</v>
      </c>
    </row>
    <row r="9" spans="1:18" x14ac:dyDescent="0.2">
      <c r="A9" t="s">
        <v>4</v>
      </c>
      <c r="B9">
        <v>0</v>
      </c>
      <c r="C9" t="s">
        <v>60</v>
      </c>
      <c r="D9">
        <v>0.5</v>
      </c>
      <c r="E9">
        <v>0</v>
      </c>
      <c r="F9">
        <v>250</v>
      </c>
      <c r="G9">
        <v>0</v>
      </c>
      <c r="H9" s="3">
        <v>0.35</v>
      </c>
      <c r="I9">
        <v>3946</v>
      </c>
      <c r="J9" s="3">
        <v>0</v>
      </c>
      <c r="K9">
        <v>36</v>
      </c>
      <c r="L9">
        <v>0</v>
      </c>
      <c r="M9">
        <v>0</v>
      </c>
      <c r="N9">
        <v>0</v>
      </c>
      <c r="O9">
        <v>36</v>
      </c>
      <c r="P9">
        <v>31</v>
      </c>
      <c r="Q9">
        <v>5</v>
      </c>
    </row>
    <row r="10" spans="1:18" x14ac:dyDescent="0.2">
      <c r="A10" t="s">
        <v>5</v>
      </c>
      <c r="B10">
        <v>0</v>
      </c>
      <c r="C10" t="s">
        <v>60</v>
      </c>
      <c r="D10">
        <v>0.5</v>
      </c>
      <c r="E10">
        <v>0</v>
      </c>
      <c r="F10">
        <v>250</v>
      </c>
      <c r="G10">
        <v>0</v>
      </c>
      <c r="H10" s="3">
        <v>0.35</v>
      </c>
      <c r="I10">
        <v>4083</v>
      </c>
      <c r="J10" s="3">
        <v>0</v>
      </c>
      <c r="K10">
        <v>35</v>
      </c>
      <c r="L10">
        <v>0</v>
      </c>
      <c r="M10">
        <v>0</v>
      </c>
      <c r="N10">
        <v>0</v>
      </c>
      <c r="O10">
        <v>35</v>
      </c>
      <c r="P10">
        <v>25</v>
      </c>
      <c r="Q10">
        <v>10</v>
      </c>
    </row>
    <row r="11" spans="1:18" x14ac:dyDescent="0.2">
      <c r="A11" t="s">
        <v>6</v>
      </c>
      <c r="B11">
        <v>0</v>
      </c>
      <c r="C11" t="s">
        <v>60</v>
      </c>
      <c r="D11">
        <v>0.5</v>
      </c>
      <c r="E11">
        <v>0</v>
      </c>
      <c r="F11">
        <v>250</v>
      </c>
      <c r="G11">
        <v>0</v>
      </c>
      <c r="H11" s="3">
        <v>0.35</v>
      </c>
      <c r="I11">
        <v>4192</v>
      </c>
      <c r="J11" s="3">
        <v>0</v>
      </c>
      <c r="K11">
        <v>31</v>
      </c>
      <c r="L11">
        <v>0</v>
      </c>
      <c r="M11">
        <v>0</v>
      </c>
      <c r="N11">
        <v>0</v>
      </c>
      <c r="O11">
        <v>31</v>
      </c>
      <c r="P11">
        <v>24</v>
      </c>
      <c r="Q11">
        <v>7</v>
      </c>
    </row>
    <row r="12" spans="1:18" s="1" customFormat="1" x14ac:dyDescent="0.2">
      <c r="A12" s="1" t="s">
        <v>10</v>
      </c>
      <c r="F12" s="1">
        <v>1750</v>
      </c>
      <c r="H12" s="4"/>
      <c r="I12" s="1">
        <f>SUM(I8:I11)</f>
        <v>15983</v>
      </c>
      <c r="J12" s="4"/>
      <c r="K12" s="1">
        <v>140</v>
      </c>
      <c r="O12" s="1">
        <v>140</v>
      </c>
      <c r="P12" s="1">
        <v>108</v>
      </c>
      <c r="Q12" s="1">
        <f>140-108</f>
        <v>32</v>
      </c>
    </row>
    <row r="13" spans="1:18" x14ac:dyDescent="0.2">
      <c r="A13" t="s">
        <v>3</v>
      </c>
      <c r="B13">
        <v>0</v>
      </c>
      <c r="C13" t="s">
        <v>60</v>
      </c>
      <c r="D13">
        <v>0.5</v>
      </c>
      <c r="E13">
        <v>0</v>
      </c>
      <c r="F13">
        <v>250</v>
      </c>
      <c r="G13">
        <v>0</v>
      </c>
      <c r="H13" s="3">
        <v>0.55000000000000004</v>
      </c>
      <c r="I13">
        <v>4341</v>
      </c>
      <c r="J13" s="3">
        <v>0</v>
      </c>
      <c r="K13">
        <v>46</v>
      </c>
      <c r="L13">
        <v>0</v>
      </c>
      <c r="M13">
        <v>0</v>
      </c>
      <c r="N13">
        <v>0</v>
      </c>
      <c r="O13">
        <v>46</v>
      </c>
      <c r="P13">
        <v>33</v>
      </c>
      <c r="Q13">
        <v>13</v>
      </c>
    </row>
    <row r="14" spans="1:18" x14ac:dyDescent="0.2">
      <c r="A14" t="s">
        <v>4</v>
      </c>
      <c r="B14">
        <v>0</v>
      </c>
      <c r="C14" t="s">
        <v>60</v>
      </c>
      <c r="D14">
        <v>0.5</v>
      </c>
      <c r="E14">
        <v>0</v>
      </c>
      <c r="F14">
        <v>250</v>
      </c>
      <c r="G14">
        <v>0</v>
      </c>
      <c r="H14" s="3">
        <v>0.55000000000000004</v>
      </c>
      <c r="I14">
        <v>4479</v>
      </c>
      <c r="J14" s="3">
        <v>0</v>
      </c>
      <c r="K14">
        <v>39</v>
      </c>
      <c r="L14">
        <v>0</v>
      </c>
      <c r="M14">
        <v>0</v>
      </c>
      <c r="N14">
        <v>0</v>
      </c>
      <c r="O14">
        <v>39</v>
      </c>
      <c r="P14">
        <v>34</v>
      </c>
      <c r="Q14">
        <v>5</v>
      </c>
    </row>
    <row r="15" spans="1:18" x14ac:dyDescent="0.2">
      <c r="A15" t="s">
        <v>5</v>
      </c>
      <c r="B15">
        <v>0</v>
      </c>
      <c r="C15" t="s">
        <v>60</v>
      </c>
      <c r="D15">
        <v>0.5</v>
      </c>
      <c r="E15">
        <v>0</v>
      </c>
      <c r="F15">
        <v>250</v>
      </c>
      <c r="G15">
        <v>0</v>
      </c>
      <c r="H15" s="3">
        <v>0.55000000000000004</v>
      </c>
      <c r="I15">
        <v>4627</v>
      </c>
      <c r="J15" s="3">
        <v>0</v>
      </c>
      <c r="K15">
        <v>39</v>
      </c>
      <c r="L15">
        <v>0</v>
      </c>
      <c r="M15">
        <v>0</v>
      </c>
      <c r="N15">
        <v>0</v>
      </c>
      <c r="O15">
        <v>39</v>
      </c>
      <c r="P15">
        <v>28</v>
      </c>
      <c r="Q15">
        <v>11</v>
      </c>
    </row>
    <row r="16" spans="1:18" x14ac:dyDescent="0.2">
      <c r="A16" t="s">
        <v>6</v>
      </c>
      <c r="B16">
        <v>0</v>
      </c>
      <c r="C16" t="s">
        <v>60</v>
      </c>
      <c r="D16">
        <v>0.5</v>
      </c>
      <c r="E16">
        <v>0</v>
      </c>
      <c r="F16">
        <v>250</v>
      </c>
      <c r="G16">
        <v>0</v>
      </c>
      <c r="H16" s="3">
        <v>0.55000000000000004</v>
      </c>
      <c r="I16">
        <v>4662</v>
      </c>
      <c r="J16" s="3">
        <v>0</v>
      </c>
      <c r="K16">
        <v>31</v>
      </c>
      <c r="L16">
        <v>0</v>
      </c>
      <c r="M16">
        <v>0</v>
      </c>
      <c r="N16">
        <v>0</v>
      </c>
      <c r="O16">
        <v>31</v>
      </c>
      <c r="P16">
        <v>24</v>
      </c>
      <c r="Q16">
        <v>7</v>
      </c>
    </row>
    <row r="17" spans="1:19" s="1" customFormat="1" x14ac:dyDescent="0.2">
      <c r="A17" s="1" t="s">
        <v>10</v>
      </c>
      <c r="F17" s="1">
        <v>1750</v>
      </c>
      <c r="H17" s="4"/>
      <c r="I17" s="1">
        <f>SUM(I13:I16)</f>
        <v>18109</v>
      </c>
      <c r="J17" s="4"/>
      <c r="K17" s="1">
        <v>155</v>
      </c>
      <c r="O17" s="1">
        <v>155</v>
      </c>
      <c r="P17" s="1">
        <v>121</v>
      </c>
      <c r="Q17" s="1">
        <f>155-121</f>
        <v>34</v>
      </c>
    </row>
    <row r="18" spans="1:19" x14ac:dyDescent="0.2">
      <c r="A18" t="s">
        <v>3</v>
      </c>
      <c r="B18">
        <v>0</v>
      </c>
      <c r="C18" t="s">
        <v>60</v>
      </c>
      <c r="D18">
        <v>0.5</v>
      </c>
      <c r="E18">
        <v>0</v>
      </c>
      <c r="F18">
        <v>250</v>
      </c>
      <c r="G18">
        <v>0</v>
      </c>
      <c r="H18" s="3">
        <v>0.75</v>
      </c>
      <c r="I18">
        <v>4666</v>
      </c>
      <c r="J18" s="3">
        <v>0</v>
      </c>
      <c r="K18">
        <v>51</v>
      </c>
      <c r="L18">
        <v>0</v>
      </c>
      <c r="M18">
        <v>0</v>
      </c>
      <c r="N18">
        <v>0</v>
      </c>
      <c r="O18">
        <v>51</v>
      </c>
      <c r="P18">
        <v>37</v>
      </c>
      <c r="Q18">
        <v>14</v>
      </c>
    </row>
    <row r="19" spans="1:19" x14ac:dyDescent="0.2">
      <c r="A19" t="s">
        <v>4</v>
      </c>
      <c r="B19">
        <v>0</v>
      </c>
      <c r="C19" t="s">
        <v>60</v>
      </c>
      <c r="D19">
        <v>0.5</v>
      </c>
      <c r="E19">
        <v>0</v>
      </c>
      <c r="F19">
        <v>250</v>
      </c>
      <c r="G19">
        <v>0</v>
      </c>
      <c r="H19" s="3">
        <v>0.75</v>
      </c>
      <c r="I19">
        <v>4802</v>
      </c>
      <c r="J19" s="3">
        <v>0</v>
      </c>
      <c r="K19">
        <v>44</v>
      </c>
      <c r="L19">
        <v>0</v>
      </c>
      <c r="M19">
        <v>0</v>
      </c>
      <c r="N19">
        <v>0</v>
      </c>
      <c r="O19">
        <v>44</v>
      </c>
      <c r="P19">
        <v>37</v>
      </c>
      <c r="Q19">
        <v>7</v>
      </c>
    </row>
    <row r="20" spans="1:19" x14ac:dyDescent="0.2">
      <c r="A20" t="s">
        <v>5</v>
      </c>
      <c r="B20">
        <v>0</v>
      </c>
      <c r="C20" t="s">
        <v>60</v>
      </c>
      <c r="D20">
        <v>0.5</v>
      </c>
      <c r="E20">
        <v>0</v>
      </c>
      <c r="F20">
        <v>250</v>
      </c>
      <c r="G20">
        <v>0</v>
      </c>
      <c r="H20" s="3">
        <v>0.75</v>
      </c>
      <c r="I20">
        <v>4933</v>
      </c>
      <c r="J20" s="3">
        <v>0</v>
      </c>
      <c r="K20">
        <v>39</v>
      </c>
      <c r="L20">
        <v>0</v>
      </c>
      <c r="M20">
        <v>0</v>
      </c>
      <c r="N20">
        <v>0</v>
      </c>
      <c r="O20">
        <v>39</v>
      </c>
      <c r="P20">
        <v>28</v>
      </c>
      <c r="Q20">
        <v>11</v>
      </c>
    </row>
    <row r="21" spans="1:19" x14ac:dyDescent="0.2">
      <c r="A21" t="s">
        <v>6</v>
      </c>
      <c r="B21">
        <v>0</v>
      </c>
      <c r="C21" t="s">
        <v>60</v>
      </c>
      <c r="D21">
        <v>0.5</v>
      </c>
      <c r="E21">
        <v>0</v>
      </c>
      <c r="F21">
        <v>250</v>
      </c>
      <c r="G21">
        <v>0</v>
      </c>
      <c r="H21" s="3">
        <v>0.75</v>
      </c>
      <c r="I21">
        <v>4951</v>
      </c>
      <c r="J21" s="3">
        <v>0</v>
      </c>
      <c r="K21">
        <v>33</v>
      </c>
      <c r="L21">
        <v>0</v>
      </c>
      <c r="M21">
        <v>0</v>
      </c>
      <c r="N21">
        <v>0</v>
      </c>
      <c r="O21">
        <v>33</v>
      </c>
      <c r="P21">
        <v>25</v>
      </c>
      <c r="Q21">
        <v>8</v>
      </c>
      <c r="R21">
        <f>AVERAGE(Q18:Q21)</f>
        <v>10</v>
      </c>
      <c r="S21">
        <f>10/250</f>
        <v>0.04</v>
      </c>
    </row>
    <row r="22" spans="1:19" s="1" customFormat="1" x14ac:dyDescent="0.2">
      <c r="A22" s="1" t="s">
        <v>10</v>
      </c>
      <c r="F22" s="1">
        <v>1750</v>
      </c>
      <c r="H22" s="4"/>
      <c r="I22" s="1">
        <f>SUM(I18:I21)</f>
        <v>19352</v>
      </c>
      <c r="J22" s="4"/>
      <c r="K22" s="1">
        <v>167</v>
      </c>
      <c r="O22" s="1">
        <v>167</v>
      </c>
      <c r="P22" s="7">
        <v>132</v>
      </c>
      <c r="Q22" s="1">
        <f>167-132</f>
        <v>35</v>
      </c>
    </row>
    <row r="23" spans="1:19" x14ac:dyDescent="0.2">
      <c r="A23" t="s">
        <v>5</v>
      </c>
      <c r="B23" t="s">
        <v>22</v>
      </c>
      <c r="C23" t="s">
        <v>23</v>
      </c>
      <c r="D23">
        <v>0.5</v>
      </c>
      <c r="E23">
        <v>250</v>
      </c>
      <c r="F23">
        <v>2485</v>
      </c>
      <c r="G23">
        <v>9.14</v>
      </c>
      <c r="H23" s="3">
        <v>0.15</v>
      </c>
      <c r="J23" s="3">
        <v>139</v>
      </c>
      <c r="L23">
        <v>1</v>
      </c>
      <c r="M23">
        <v>0</v>
      </c>
    </row>
    <row r="24" spans="1:19" x14ac:dyDescent="0.2">
      <c r="A24" t="s">
        <v>5</v>
      </c>
      <c r="B24" t="s">
        <v>24</v>
      </c>
      <c r="C24" t="s">
        <v>25</v>
      </c>
      <c r="D24">
        <v>0.5</v>
      </c>
      <c r="E24">
        <v>250</v>
      </c>
      <c r="F24">
        <v>2485</v>
      </c>
      <c r="G24">
        <v>9.14</v>
      </c>
      <c r="H24" s="3">
        <v>0.15</v>
      </c>
      <c r="J24" s="3">
        <v>143</v>
      </c>
      <c r="M24">
        <v>137</v>
      </c>
      <c r="N24">
        <f>M24/E24</f>
        <v>0.54800000000000004</v>
      </c>
      <c r="O24">
        <f>AVERAGE(N24:N29)</f>
        <v>0.47466666666666663</v>
      </c>
      <c r="R24">
        <f>137/250</f>
        <v>0.54800000000000004</v>
      </c>
    </row>
    <row r="25" spans="1:19" x14ac:dyDescent="0.2">
      <c r="A25" t="s">
        <v>5</v>
      </c>
      <c r="B25" t="s">
        <v>26</v>
      </c>
      <c r="C25" t="s">
        <v>27</v>
      </c>
      <c r="D25">
        <v>0.5</v>
      </c>
      <c r="E25">
        <v>250</v>
      </c>
      <c r="F25">
        <v>2485</v>
      </c>
      <c r="G25">
        <v>9.14</v>
      </c>
      <c r="H25" s="3">
        <v>0.15</v>
      </c>
      <c r="J25" s="3">
        <v>121</v>
      </c>
      <c r="L25">
        <v>1</v>
      </c>
      <c r="M25">
        <v>115</v>
      </c>
      <c r="N25">
        <f t="shared" ref="N25:N29" si="0">M25/E25</f>
        <v>0.46</v>
      </c>
      <c r="R25">
        <f>115/250</f>
        <v>0.46</v>
      </c>
    </row>
    <row r="26" spans="1:19" x14ac:dyDescent="0.2">
      <c r="A26" t="s">
        <v>5</v>
      </c>
      <c r="B26" t="s">
        <v>28</v>
      </c>
      <c r="C26" t="s">
        <v>29</v>
      </c>
      <c r="D26">
        <v>0.5</v>
      </c>
      <c r="E26">
        <v>250</v>
      </c>
      <c r="F26">
        <v>2485</v>
      </c>
      <c r="G26">
        <v>9.14</v>
      </c>
      <c r="H26" s="3">
        <v>0.15</v>
      </c>
      <c r="J26" s="3">
        <v>115</v>
      </c>
      <c r="M26">
        <v>112</v>
      </c>
      <c r="N26">
        <f t="shared" si="0"/>
        <v>0.44800000000000001</v>
      </c>
      <c r="R26">
        <f>112/250</f>
        <v>0.44800000000000001</v>
      </c>
    </row>
    <row r="27" spans="1:19" x14ac:dyDescent="0.2">
      <c r="A27" t="s">
        <v>5</v>
      </c>
      <c r="B27" t="s">
        <v>65</v>
      </c>
      <c r="C27" t="s">
        <v>31</v>
      </c>
      <c r="D27">
        <v>0.5</v>
      </c>
      <c r="E27">
        <v>250</v>
      </c>
      <c r="F27">
        <v>2485</v>
      </c>
      <c r="G27">
        <v>9.14</v>
      </c>
      <c r="H27" s="3">
        <v>0.15</v>
      </c>
      <c r="J27" s="3">
        <v>122</v>
      </c>
      <c r="L27">
        <v>1</v>
      </c>
      <c r="M27">
        <v>118</v>
      </c>
      <c r="N27">
        <f t="shared" si="0"/>
        <v>0.47199999999999998</v>
      </c>
      <c r="R27">
        <f>118/250</f>
        <v>0.47199999999999998</v>
      </c>
    </row>
    <row r="28" spans="1:19" x14ac:dyDescent="0.2">
      <c r="A28" t="s">
        <v>5</v>
      </c>
      <c r="B28" t="s">
        <v>32</v>
      </c>
      <c r="C28" t="s">
        <v>33</v>
      </c>
      <c r="D28">
        <v>0.5</v>
      </c>
      <c r="E28">
        <v>250</v>
      </c>
      <c r="F28">
        <v>2485</v>
      </c>
      <c r="G28">
        <v>9.14</v>
      </c>
      <c r="H28" s="3">
        <v>0.15</v>
      </c>
      <c r="J28" s="3">
        <v>117</v>
      </c>
      <c r="M28">
        <v>113</v>
      </c>
      <c r="N28">
        <f t="shared" si="0"/>
        <v>0.45200000000000001</v>
      </c>
      <c r="R28">
        <f>113/250</f>
        <v>0.45200000000000001</v>
      </c>
    </row>
    <row r="29" spans="1:19" x14ac:dyDescent="0.2">
      <c r="A29" t="s">
        <v>5</v>
      </c>
      <c r="B29" t="s">
        <v>3</v>
      </c>
      <c r="C29" t="s">
        <v>34</v>
      </c>
      <c r="D29">
        <v>0.5</v>
      </c>
      <c r="E29">
        <v>250</v>
      </c>
      <c r="F29">
        <v>2485</v>
      </c>
      <c r="G29">
        <v>9.14</v>
      </c>
      <c r="H29" s="3">
        <v>0.15</v>
      </c>
      <c r="J29" s="3">
        <v>120</v>
      </c>
      <c r="M29">
        <v>117</v>
      </c>
      <c r="N29">
        <f t="shared" si="0"/>
        <v>0.46800000000000003</v>
      </c>
      <c r="R29">
        <f>117/250</f>
        <v>0.46800000000000003</v>
      </c>
    </row>
    <row r="30" spans="1:19" s="1" customFormat="1" x14ac:dyDescent="0.2">
      <c r="A30" s="1" t="s">
        <v>10</v>
      </c>
      <c r="E30" s="1">
        <f>SUM(E23:E29)</f>
        <v>1750</v>
      </c>
      <c r="F30" s="1">
        <f>SUM(F23:F29)</f>
        <v>17395</v>
      </c>
      <c r="G30" s="1">
        <f>(E30/F30)*100</f>
        <v>10.06036217303823</v>
      </c>
      <c r="H30" s="4"/>
      <c r="I30" s="1">
        <v>1353</v>
      </c>
      <c r="J30" s="4">
        <f>SUM(J23:J29)</f>
        <v>877</v>
      </c>
      <c r="K30" s="1">
        <f>715+12</f>
        <v>727</v>
      </c>
      <c r="L30" s="1">
        <v>715</v>
      </c>
      <c r="M30" s="1">
        <v>712</v>
      </c>
      <c r="N30" s="1">
        <v>3</v>
      </c>
      <c r="O30" s="1">
        <v>12</v>
      </c>
      <c r="P30" s="1">
        <v>9</v>
      </c>
      <c r="Q30" s="1">
        <v>3</v>
      </c>
      <c r="R30" s="1">
        <f>AVERAGE(R24:R29)</f>
        <v>0.47466666666666663</v>
      </c>
    </row>
    <row r="31" spans="1:19" x14ac:dyDescent="0.2">
      <c r="A31" t="s">
        <v>5</v>
      </c>
      <c r="B31" t="s">
        <v>22</v>
      </c>
      <c r="C31" t="s">
        <v>23</v>
      </c>
      <c r="D31">
        <v>0.5</v>
      </c>
      <c r="E31">
        <v>250</v>
      </c>
      <c r="F31">
        <v>2485</v>
      </c>
      <c r="G31">
        <v>9.14</v>
      </c>
      <c r="H31" s="3">
        <v>0.35</v>
      </c>
      <c r="J31" s="3">
        <v>194</v>
      </c>
      <c r="L31">
        <v>2</v>
      </c>
      <c r="M31">
        <v>0</v>
      </c>
    </row>
    <row r="32" spans="1:19" x14ac:dyDescent="0.2">
      <c r="A32" t="s">
        <v>5</v>
      </c>
      <c r="B32" t="s">
        <v>24</v>
      </c>
      <c r="C32" t="s">
        <v>25</v>
      </c>
      <c r="D32">
        <v>0.5</v>
      </c>
      <c r="E32">
        <v>250</v>
      </c>
      <c r="F32">
        <v>2485</v>
      </c>
      <c r="G32">
        <v>9.14</v>
      </c>
      <c r="H32" s="3">
        <v>0.35</v>
      </c>
      <c r="J32" s="3">
        <v>196</v>
      </c>
      <c r="M32">
        <v>187</v>
      </c>
      <c r="N32">
        <f>M32/E32</f>
        <v>0.748</v>
      </c>
      <c r="O32">
        <f>AVERAGE(N32:N37)</f>
        <v>0.80200000000000005</v>
      </c>
    </row>
    <row r="33" spans="1:18" x14ac:dyDescent="0.2">
      <c r="A33" t="s">
        <v>5</v>
      </c>
      <c r="B33" t="s">
        <v>26</v>
      </c>
      <c r="C33" t="s">
        <v>27</v>
      </c>
      <c r="D33">
        <v>0.5</v>
      </c>
      <c r="E33">
        <v>250</v>
      </c>
      <c r="F33">
        <v>2485</v>
      </c>
      <c r="G33">
        <v>9.14</v>
      </c>
      <c r="H33" s="3">
        <v>0.35</v>
      </c>
      <c r="J33" s="3">
        <v>207</v>
      </c>
      <c r="L33">
        <v>1</v>
      </c>
      <c r="M33">
        <v>199</v>
      </c>
      <c r="N33">
        <f t="shared" ref="N33:N37" si="1">M33/E33</f>
        <v>0.79600000000000004</v>
      </c>
    </row>
    <row r="34" spans="1:18" x14ac:dyDescent="0.2">
      <c r="A34" t="s">
        <v>5</v>
      </c>
      <c r="B34" t="s">
        <v>28</v>
      </c>
      <c r="C34" t="s">
        <v>29</v>
      </c>
      <c r="D34">
        <v>0.5</v>
      </c>
      <c r="E34">
        <v>250</v>
      </c>
      <c r="F34">
        <v>2485</v>
      </c>
      <c r="G34">
        <v>9.14</v>
      </c>
      <c r="H34" s="3">
        <v>0.35</v>
      </c>
      <c r="J34" s="3">
        <v>225</v>
      </c>
      <c r="M34">
        <v>216</v>
      </c>
      <c r="N34">
        <f t="shared" si="1"/>
        <v>0.86399999999999999</v>
      </c>
    </row>
    <row r="35" spans="1:18" x14ac:dyDescent="0.2">
      <c r="A35" t="s">
        <v>5</v>
      </c>
      <c r="B35" t="s">
        <v>65</v>
      </c>
      <c r="C35" t="s">
        <v>31</v>
      </c>
      <c r="D35">
        <v>0.5</v>
      </c>
      <c r="E35">
        <v>250</v>
      </c>
      <c r="F35">
        <v>2485</v>
      </c>
      <c r="G35">
        <v>9.14</v>
      </c>
      <c r="H35" s="3">
        <v>0.35</v>
      </c>
      <c r="J35" s="3">
        <v>214</v>
      </c>
      <c r="L35">
        <v>1</v>
      </c>
      <c r="M35">
        <v>205</v>
      </c>
      <c r="N35">
        <f t="shared" si="1"/>
        <v>0.82</v>
      </c>
    </row>
    <row r="36" spans="1:18" x14ac:dyDescent="0.2">
      <c r="A36" t="s">
        <v>5</v>
      </c>
      <c r="B36" t="s">
        <v>32</v>
      </c>
      <c r="C36" t="s">
        <v>33</v>
      </c>
      <c r="D36">
        <v>0.5</v>
      </c>
      <c r="E36">
        <v>250</v>
      </c>
      <c r="F36">
        <v>2485</v>
      </c>
      <c r="G36">
        <v>9.14</v>
      </c>
      <c r="H36" s="3">
        <v>0.35</v>
      </c>
      <c r="J36" s="3">
        <v>206</v>
      </c>
      <c r="M36">
        <v>199</v>
      </c>
      <c r="N36">
        <f t="shared" si="1"/>
        <v>0.79600000000000004</v>
      </c>
    </row>
    <row r="37" spans="1:18" x14ac:dyDescent="0.2">
      <c r="A37" t="s">
        <v>5</v>
      </c>
      <c r="B37" t="s">
        <v>3</v>
      </c>
      <c r="C37" t="s">
        <v>34</v>
      </c>
      <c r="D37">
        <v>0.5</v>
      </c>
      <c r="E37">
        <v>250</v>
      </c>
      <c r="F37">
        <v>2485</v>
      </c>
      <c r="G37">
        <v>9.14</v>
      </c>
      <c r="H37" s="3">
        <v>0.35</v>
      </c>
      <c r="J37" s="3">
        <v>202</v>
      </c>
      <c r="M37">
        <v>197</v>
      </c>
      <c r="N37">
        <f t="shared" si="1"/>
        <v>0.78800000000000003</v>
      </c>
    </row>
    <row r="38" spans="1:18" s="1" customFormat="1" x14ac:dyDescent="0.2">
      <c r="A38" s="1" t="s">
        <v>10</v>
      </c>
      <c r="E38" s="1">
        <f>SUM(E31:E37)</f>
        <v>1750</v>
      </c>
      <c r="F38" s="1">
        <f>SUM(F31:F37)</f>
        <v>17395</v>
      </c>
      <c r="G38" s="1">
        <f>(E38/F38)*100</f>
        <v>10.06036217303823</v>
      </c>
      <c r="H38" s="4"/>
      <c r="I38" s="1">
        <v>1845</v>
      </c>
      <c r="J38" s="4">
        <f>SUM(J31:J37)</f>
        <v>1444</v>
      </c>
      <c r="K38" s="1">
        <f>1206+16</f>
        <v>1222</v>
      </c>
      <c r="L38" s="1">
        <v>1207</v>
      </c>
      <c r="M38" s="1">
        <v>1203</v>
      </c>
      <c r="N38" s="1">
        <v>4</v>
      </c>
      <c r="O38" s="1">
        <v>16</v>
      </c>
      <c r="P38" s="1">
        <v>13</v>
      </c>
      <c r="Q38" s="1">
        <v>3</v>
      </c>
    </row>
    <row r="39" spans="1:18" x14ac:dyDescent="0.2">
      <c r="A39" t="s">
        <v>5</v>
      </c>
      <c r="B39" t="s">
        <v>22</v>
      </c>
      <c r="C39" t="s">
        <v>23</v>
      </c>
      <c r="D39">
        <v>0.5</v>
      </c>
      <c r="E39">
        <v>250</v>
      </c>
      <c r="F39">
        <v>2485</v>
      </c>
      <c r="G39">
        <v>9.14</v>
      </c>
      <c r="H39" s="3">
        <v>0.55000000000000004</v>
      </c>
      <c r="J39" s="3">
        <v>211</v>
      </c>
      <c r="L39">
        <v>3</v>
      </c>
      <c r="M39">
        <v>0</v>
      </c>
    </row>
    <row r="40" spans="1:18" x14ac:dyDescent="0.2">
      <c r="A40" t="s">
        <v>5</v>
      </c>
      <c r="B40" t="s">
        <v>24</v>
      </c>
      <c r="C40" t="s">
        <v>25</v>
      </c>
      <c r="D40">
        <v>0.5</v>
      </c>
      <c r="E40">
        <v>250</v>
      </c>
      <c r="F40">
        <v>2485</v>
      </c>
      <c r="G40">
        <v>9.14</v>
      </c>
      <c r="H40" s="3">
        <v>0.55000000000000004</v>
      </c>
      <c r="J40" s="3">
        <v>224</v>
      </c>
      <c r="L40">
        <v>215</v>
      </c>
      <c r="M40">
        <v>215</v>
      </c>
      <c r="N40">
        <f>M40/E40</f>
        <v>0.86</v>
      </c>
      <c r="O40">
        <f>AVERAGE(N40:N45)</f>
        <v>0.8613333333333334</v>
      </c>
    </row>
    <row r="41" spans="1:18" x14ac:dyDescent="0.2">
      <c r="A41" t="s">
        <v>5</v>
      </c>
      <c r="B41" t="s">
        <v>26</v>
      </c>
      <c r="C41" t="s">
        <v>27</v>
      </c>
      <c r="D41">
        <v>0.5</v>
      </c>
      <c r="E41">
        <v>250</v>
      </c>
      <c r="F41">
        <v>2485</v>
      </c>
      <c r="G41">
        <v>9.14</v>
      </c>
      <c r="H41" s="3">
        <v>0.55000000000000004</v>
      </c>
      <c r="J41" s="3">
        <v>225</v>
      </c>
      <c r="L41">
        <v>218</v>
      </c>
      <c r="M41">
        <v>218</v>
      </c>
      <c r="N41">
        <f t="shared" ref="N41:N45" si="2">M41/E41</f>
        <v>0.872</v>
      </c>
    </row>
    <row r="42" spans="1:18" x14ac:dyDescent="0.2">
      <c r="A42" t="s">
        <v>5</v>
      </c>
      <c r="B42" t="s">
        <v>28</v>
      </c>
      <c r="C42" t="s">
        <v>29</v>
      </c>
      <c r="D42">
        <v>0.5</v>
      </c>
      <c r="E42">
        <v>250</v>
      </c>
      <c r="F42">
        <v>2485</v>
      </c>
      <c r="G42">
        <v>9.14</v>
      </c>
      <c r="H42" s="3">
        <v>0.55000000000000004</v>
      </c>
      <c r="J42" s="3">
        <v>230</v>
      </c>
      <c r="L42">
        <v>221</v>
      </c>
      <c r="M42">
        <v>221</v>
      </c>
      <c r="N42">
        <f t="shared" si="2"/>
        <v>0.88400000000000001</v>
      </c>
    </row>
    <row r="43" spans="1:18" x14ac:dyDescent="0.2">
      <c r="A43" t="s">
        <v>5</v>
      </c>
      <c r="B43" t="s">
        <v>65</v>
      </c>
      <c r="C43" t="s">
        <v>31</v>
      </c>
      <c r="D43">
        <v>0.5</v>
      </c>
      <c r="E43">
        <v>250</v>
      </c>
      <c r="F43">
        <v>2485</v>
      </c>
      <c r="G43">
        <v>9.14</v>
      </c>
      <c r="H43" s="3">
        <v>0.55000000000000004</v>
      </c>
      <c r="J43" s="3">
        <v>233</v>
      </c>
      <c r="L43">
        <v>223</v>
      </c>
      <c r="M43">
        <v>223</v>
      </c>
      <c r="N43">
        <f t="shared" si="2"/>
        <v>0.89200000000000002</v>
      </c>
    </row>
    <row r="44" spans="1:18" x14ac:dyDescent="0.2">
      <c r="A44" t="s">
        <v>5</v>
      </c>
      <c r="B44" t="s">
        <v>32</v>
      </c>
      <c r="C44" t="s">
        <v>33</v>
      </c>
      <c r="D44">
        <v>0.5</v>
      </c>
      <c r="E44">
        <v>250</v>
      </c>
      <c r="F44">
        <v>2485</v>
      </c>
      <c r="G44">
        <v>9.14</v>
      </c>
      <c r="H44" s="3">
        <v>0.55000000000000004</v>
      </c>
      <c r="J44" s="3">
        <v>237</v>
      </c>
      <c r="L44">
        <v>226</v>
      </c>
      <c r="M44">
        <v>226</v>
      </c>
      <c r="N44">
        <f t="shared" si="2"/>
        <v>0.90400000000000003</v>
      </c>
    </row>
    <row r="45" spans="1:18" x14ac:dyDescent="0.2">
      <c r="A45" t="s">
        <v>5</v>
      </c>
      <c r="B45" t="s">
        <v>3</v>
      </c>
      <c r="C45" t="s">
        <v>34</v>
      </c>
      <c r="D45">
        <v>0.5</v>
      </c>
      <c r="E45">
        <v>250</v>
      </c>
      <c r="F45">
        <v>2485</v>
      </c>
      <c r="G45">
        <v>9.14</v>
      </c>
      <c r="H45" s="3">
        <v>0.55000000000000004</v>
      </c>
      <c r="J45" s="3">
        <v>250</v>
      </c>
      <c r="L45">
        <v>189</v>
      </c>
      <c r="M45">
        <v>189</v>
      </c>
      <c r="N45">
        <f t="shared" si="2"/>
        <v>0.75600000000000001</v>
      </c>
    </row>
    <row r="46" spans="1:18" s="1" customFormat="1" x14ac:dyDescent="0.2">
      <c r="A46" s="1" t="s">
        <v>10</v>
      </c>
      <c r="E46" s="1">
        <f>SUM(E39:E45)</f>
        <v>1750</v>
      </c>
      <c r="F46" s="1">
        <f>SUM(F39:F45)</f>
        <v>17395</v>
      </c>
      <c r="G46" s="1">
        <f>(E46/F46)*100</f>
        <v>10.06036217303823</v>
      </c>
      <c r="H46" s="4"/>
      <c r="I46" s="1">
        <f>3680-1610</f>
        <v>2070</v>
      </c>
      <c r="J46" s="4">
        <f>SUM(J39:J45)</f>
        <v>1610</v>
      </c>
      <c r="K46" s="1">
        <v>1314</v>
      </c>
      <c r="L46" s="1">
        <v>1295</v>
      </c>
      <c r="M46" s="1">
        <v>1290</v>
      </c>
      <c r="N46" s="1">
        <v>5</v>
      </c>
      <c r="O46" s="1">
        <v>19</v>
      </c>
      <c r="P46" s="1">
        <v>14</v>
      </c>
      <c r="Q46" s="1">
        <v>5</v>
      </c>
    </row>
    <row r="47" spans="1:18" x14ac:dyDescent="0.2">
      <c r="A47" t="s">
        <v>5</v>
      </c>
      <c r="B47" t="s">
        <v>22</v>
      </c>
      <c r="C47" t="s">
        <v>23</v>
      </c>
      <c r="D47">
        <v>0.5</v>
      </c>
      <c r="E47">
        <v>250</v>
      </c>
      <c r="F47">
        <v>2485</v>
      </c>
      <c r="G47">
        <v>9.14</v>
      </c>
      <c r="H47" s="3">
        <v>0.75</v>
      </c>
      <c r="J47" s="3">
        <v>225</v>
      </c>
      <c r="L47">
        <v>3</v>
      </c>
      <c r="M47">
        <v>0</v>
      </c>
    </row>
    <row r="48" spans="1:18" x14ac:dyDescent="0.2">
      <c r="A48" t="s">
        <v>5</v>
      </c>
      <c r="B48" t="s">
        <v>24</v>
      </c>
      <c r="C48" t="s">
        <v>25</v>
      </c>
      <c r="D48">
        <v>0.5</v>
      </c>
      <c r="E48">
        <v>250</v>
      </c>
      <c r="F48">
        <v>2485</v>
      </c>
      <c r="G48">
        <v>9.14</v>
      </c>
      <c r="H48" s="3">
        <v>0.75</v>
      </c>
      <c r="J48" s="3">
        <v>232</v>
      </c>
      <c r="L48">
        <v>223</v>
      </c>
      <c r="M48">
        <v>223</v>
      </c>
      <c r="N48">
        <f>M48/E48</f>
        <v>0.89200000000000002</v>
      </c>
      <c r="O48">
        <f>AVERAGE(N48:N53)</f>
        <v>0.90066666666666662</v>
      </c>
      <c r="R48">
        <f>M48/E48</f>
        <v>0.89200000000000002</v>
      </c>
    </row>
    <row r="49" spans="1:18" x14ac:dyDescent="0.2">
      <c r="A49" t="s">
        <v>5</v>
      </c>
      <c r="B49" t="s">
        <v>26</v>
      </c>
      <c r="C49" t="s">
        <v>27</v>
      </c>
      <c r="D49">
        <v>0.5</v>
      </c>
      <c r="E49">
        <v>250</v>
      </c>
      <c r="F49">
        <v>2485</v>
      </c>
      <c r="G49">
        <v>9.14</v>
      </c>
      <c r="H49" s="3">
        <v>0.75</v>
      </c>
      <c r="J49" s="3">
        <v>236</v>
      </c>
      <c r="L49">
        <v>227</v>
      </c>
      <c r="M49">
        <v>226</v>
      </c>
      <c r="N49">
        <f t="shared" ref="N49:N53" si="3">M49/E49</f>
        <v>0.90400000000000003</v>
      </c>
      <c r="R49">
        <f t="shared" ref="R49:R53" si="4">M49/E49</f>
        <v>0.90400000000000003</v>
      </c>
    </row>
    <row r="50" spans="1:18" x14ac:dyDescent="0.2">
      <c r="A50" t="s">
        <v>5</v>
      </c>
      <c r="B50" t="s">
        <v>28</v>
      </c>
      <c r="C50" t="s">
        <v>29</v>
      </c>
      <c r="D50">
        <v>0.5</v>
      </c>
      <c r="E50">
        <v>250</v>
      </c>
      <c r="F50">
        <v>2485</v>
      </c>
      <c r="G50">
        <v>9.14</v>
      </c>
      <c r="H50" s="3">
        <v>0.75</v>
      </c>
      <c r="J50" s="3">
        <v>250</v>
      </c>
      <c r="L50">
        <v>239</v>
      </c>
      <c r="M50">
        <v>239</v>
      </c>
      <c r="N50">
        <f t="shared" si="3"/>
        <v>0.95599999999999996</v>
      </c>
      <c r="R50">
        <f t="shared" si="4"/>
        <v>0.95599999999999996</v>
      </c>
    </row>
    <row r="51" spans="1:18" x14ac:dyDescent="0.2">
      <c r="A51" t="s">
        <v>5</v>
      </c>
      <c r="B51" t="s">
        <v>65</v>
      </c>
      <c r="C51" t="s">
        <v>31</v>
      </c>
      <c r="D51">
        <v>0.5</v>
      </c>
      <c r="E51">
        <v>250</v>
      </c>
      <c r="F51">
        <v>2485</v>
      </c>
      <c r="G51">
        <v>9.14</v>
      </c>
      <c r="H51" s="3">
        <v>0.75</v>
      </c>
      <c r="J51" s="3">
        <v>250</v>
      </c>
      <c r="L51">
        <v>237</v>
      </c>
      <c r="M51">
        <v>236</v>
      </c>
      <c r="N51">
        <f t="shared" si="3"/>
        <v>0.94399999999999995</v>
      </c>
      <c r="R51">
        <f t="shared" si="4"/>
        <v>0.94399999999999995</v>
      </c>
    </row>
    <row r="52" spans="1:18" x14ac:dyDescent="0.2">
      <c r="A52" t="s">
        <v>5</v>
      </c>
      <c r="B52" t="s">
        <v>32</v>
      </c>
      <c r="C52" t="s">
        <v>33</v>
      </c>
      <c r="D52">
        <v>0.5</v>
      </c>
      <c r="E52">
        <v>250</v>
      </c>
      <c r="F52">
        <v>2485</v>
      </c>
      <c r="G52">
        <v>9.14</v>
      </c>
      <c r="H52" s="3">
        <v>0.75</v>
      </c>
      <c r="J52" s="3">
        <v>250</v>
      </c>
      <c r="L52">
        <v>238</v>
      </c>
      <c r="M52">
        <v>238</v>
      </c>
      <c r="N52">
        <f t="shared" si="3"/>
        <v>0.95199999999999996</v>
      </c>
      <c r="R52">
        <f t="shared" si="4"/>
        <v>0.95199999999999996</v>
      </c>
    </row>
    <row r="53" spans="1:18" x14ac:dyDescent="0.2">
      <c r="A53" t="s">
        <v>5</v>
      </c>
      <c r="B53" t="s">
        <v>3</v>
      </c>
      <c r="C53" t="s">
        <v>34</v>
      </c>
      <c r="D53">
        <v>0.5</v>
      </c>
      <c r="E53">
        <v>250</v>
      </c>
      <c r="F53">
        <v>2485</v>
      </c>
      <c r="G53">
        <v>9.14</v>
      </c>
      <c r="H53" s="3">
        <v>0.75</v>
      </c>
      <c r="J53" s="3">
        <v>250</v>
      </c>
      <c r="L53">
        <v>189</v>
      </c>
      <c r="M53">
        <v>189</v>
      </c>
      <c r="N53">
        <f t="shared" si="3"/>
        <v>0.75600000000000001</v>
      </c>
      <c r="R53">
        <f t="shared" si="4"/>
        <v>0.75600000000000001</v>
      </c>
    </row>
    <row r="54" spans="1:18" x14ac:dyDescent="0.2">
      <c r="A54" t="s">
        <v>10</v>
      </c>
      <c r="E54">
        <f>SUM(E47:E53)</f>
        <v>1750</v>
      </c>
      <c r="F54">
        <f>SUM(F47:F53)</f>
        <v>17395</v>
      </c>
      <c r="G54">
        <f>(E54/F54)*100</f>
        <v>10.06036217303823</v>
      </c>
      <c r="I54">
        <f>3842-1693</f>
        <v>2149</v>
      </c>
      <c r="J54" s="3">
        <f>SUM(J47:J53)</f>
        <v>1693</v>
      </c>
      <c r="K54">
        <v>1376</v>
      </c>
      <c r="L54">
        <v>1356</v>
      </c>
      <c r="M54">
        <v>1351</v>
      </c>
      <c r="N54">
        <v>5</v>
      </c>
      <c r="O54">
        <v>20</v>
      </c>
      <c r="P54">
        <v>15</v>
      </c>
      <c r="Q54">
        <v>5</v>
      </c>
      <c r="R54">
        <f>AVERAGE(R48:R53)</f>
        <v>0.90066666666666662</v>
      </c>
    </row>
  </sheetData>
  <mergeCells count="2">
    <mergeCell ref="I1:J1"/>
    <mergeCell ref="K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19A3-FBED-6B43-B8B5-761A08FC775E}">
  <dimension ref="A1:S44"/>
  <sheetViews>
    <sheetView zoomScaleNormal="100" workbookViewId="0">
      <selection activeCell="G15" sqref="G15"/>
    </sheetView>
  </sheetViews>
  <sheetFormatPr baseColWidth="10" defaultRowHeight="16" x14ac:dyDescent="0.2"/>
  <cols>
    <col min="2" max="2" width="5.83203125" bestFit="1" customWidth="1"/>
    <col min="3" max="3" width="11.83203125" bestFit="1" customWidth="1"/>
    <col min="4" max="4" width="12.83203125" bestFit="1" customWidth="1"/>
    <col min="5" max="5" width="8.5" bestFit="1" customWidth="1"/>
    <col min="7" max="7" width="14" bestFit="1" customWidth="1"/>
    <col min="8" max="8" width="21.6640625" bestFit="1" customWidth="1"/>
    <col min="9" max="9" width="14.1640625" bestFit="1" customWidth="1"/>
    <col min="10" max="10" width="12" bestFit="1" customWidth="1"/>
    <col min="11" max="11" width="9" bestFit="1" customWidth="1"/>
    <col min="12" max="12" width="13.33203125" bestFit="1" customWidth="1"/>
    <col min="13" max="13" width="15" bestFit="1" customWidth="1"/>
    <col min="14" max="14" width="13.83203125" bestFit="1" customWidth="1"/>
    <col min="15" max="15" width="17.83203125" bestFit="1" customWidth="1"/>
    <col min="16" max="16" width="21.6640625" bestFit="1" customWidth="1"/>
    <col min="19" max="19" width="0" hidden="1" customWidth="1"/>
    <col min="28" max="28" width="0" hidden="1" customWidth="1"/>
  </cols>
  <sheetData>
    <row r="1" spans="1:19" s="8" customFormat="1" x14ac:dyDescent="0.2">
      <c r="H1" s="16" t="s">
        <v>53</v>
      </c>
      <c r="I1" s="17"/>
      <c r="J1" s="16" t="s">
        <v>54</v>
      </c>
      <c r="K1" s="15"/>
      <c r="L1" s="15"/>
      <c r="M1" s="15"/>
      <c r="N1" s="15"/>
      <c r="O1" s="15"/>
      <c r="P1" s="15"/>
    </row>
    <row r="2" spans="1:19" x14ac:dyDescent="0.2">
      <c r="A2" t="s">
        <v>0</v>
      </c>
      <c r="B2" t="s">
        <v>11</v>
      </c>
      <c r="C2" t="s">
        <v>38</v>
      </c>
      <c r="D2" t="s">
        <v>39</v>
      </c>
      <c r="E2" t="s">
        <v>13</v>
      </c>
      <c r="F2" t="s">
        <v>2</v>
      </c>
      <c r="G2" s="3" t="s">
        <v>40</v>
      </c>
      <c r="H2" t="s">
        <v>15</v>
      </c>
      <c r="I2" s="3" t="s">
        <v>16</v>
      </c>
      <c r="J2" t="s">
        <v>58</v>
      </c>
      <c r="K2" t="s">
        <v>18</v>
      </c>
      <c r="L2" t="s">
        <v>19</v>
      </c>
      <c r="M2" t="s">
        <v>61</v>
      </c>
      <c r="N2" t="s">
        <v>8</v>
      </c>
      <c r="O2" t="s">
        <v>9</v>
      </c>
      <c r="P2" t="s">
        <v>41</v>
      </c>
    </row>
    <row r="3" spans="1:19" x14ac:dyDescent="0.2">
      <c r="A3" t="s">
        <v>5</v>
      </c>
      <c r="B3" t="s">
        <v>42</v>
      </c>
      <c r="C3" t="s">
        <v>43</v>
      </c>
      <c r="D3" t="s">
        <v>44</v>
      </c>
      <c r="E3">
        <v>500</v>
      </c>
      <c r="F3">
        <v>2485</v>
      </c>
      <c r="G3" s="3">
        <v>5</v>
      </c>
      <c r="I3" s="3">
        <v>444</v>
      </c>
      <c r="L3">
        <v>433</v>
      </c>
      <c r="M3">
        <v>0</v>
      </c>
      <c r="Q3">
        <f>L3/E3</f>
        <v>0.86599999999999999</v>
      </c>
    </row>
    <row r="4" spans="1:19" x14ac:dyDescent="0.2">
      <c r="A4" t="s">
        <v>5</v>
      </c>
      <c r="B4" t="s">
        <v>42</v>
      </c>
      <c r="C4" t="s">
        <v>24</v>
      </c>
      <c r="D4" t="s">
        <v>45</v>
      </c>
      <c r="E4">
        <v>500</v>
      </c>
      <c r="F4">
        <v>2485</v>
      </c>
      <c r="G4" s="3">
        <v>5</v>
      </c>
      <c r="I4" s="3">
        <v>474</v>
      </c>
      <c r="L4">
        <v>464</v>
      </c>
      <c r="M4">
        <v>2</v>
      </c>
      <c r="Q4">
        <f t="shared" ref="Q4:Q19" si="0">L4/E4</f>
        <v>0.92800000000000005</v>
      </c>
    </row>
    <row r="5" spans="1:19" x14ac:dyDescent="0.2">
      <c r="A5" t="s">
        <v>5</v>
      </c>
      <c r="B5" t="s">
        <v>42</v>
      </c>
      <c r="C5" t="s">
        <v>46</v>
      </c>
      <c r="D5" t="s">
        <v>31</v>
      </c>
      <c r="E5">
        <v>500</v>
      </c>
      <c r="F5">
        <v>2485</v>
      </c>
      <c r="G5" s="3">
        <v>5</v>
      </c>
      <c r="I5" s="3">
        <v>466</v>
      </c>
      <c r="L5">
        <v>458</v>
      </c>
      <c r="M5">
        <v>3</v>
      </c>
      <c r="Q5">
        <f t="shared" si="0"/>
        <v>0.91600000000000004</v>
      </c>
    </row>
    <row r="6" spans="1:19" x14ac:dyDescent="0.2">
      <c r="A6" t="s">
        <v>5</v>
      </c>
      <c r="B6" t="s">
        <v>42</v>
      </c>
      <c r="C6" t="s">
        <v>47</v>
      </c>
      <c r="D6" t="s">
        <v>48</v>
      </c>
      <c r="E6">
        <v>500</v>
      </c>
      <c r="F6">
        <v>2485</v>
      </c>
      <c r="G6" s="3">
        <v>5</v>
      </c>
      <c r="I6" s="3">
        <v>471</v>
      </c>
      <c r="L6">
        <v>460</v>
      </c>
      <c r="M6">
        <v>1</v>
      </c>
      <c r="Q6">
        <f t="shared" si="0"/>
        <v>0.92</v>
      </c>
    </row>
    <row r="7" spans="1:19" x14ac:dyDescent="0.2">
      <c r="A7" t="s">
        <v>5</v>
      </c>
      <c r="B7" t="s">
        <v>42</v>
      </c>
      <c r="C7" t="s">
        <v>49</v>
      </c>
      <c r="D7" t="s">
        <v>50</v>
      </c>
      <c r="E7">
        <v>500</v>
      </c>
      <c r="F7">
        <v>2485</v>
      </c>
      <c r="G7" s="3">
        <v>5</v>
      </c>
      <c r="I7" s="3">
        <v>451</v>
      </c>
      <c r="L7">
        <v>443</v>
      </c>
      <c r="M7">
        <v>3</v>
      </c>
      <c r="Q7">
        <f t="shared" si="0"/>
        <v>0.88600000000000001</v>
      </c>
    </row>
    <row r="8" spans="1:19" x14ac:dyDescent="0.2">
      <c r="A8" s="1"/>
      <c r="B8" s="1"/>
      <c r="C8" s="1"/>
      <c r="D8" s="1"/>
      <c r="E8" s="1">
        <f>SUM(E3:E7)</f>
        <v>2500</v>
      </c>
      <c r="F8" s="1">
        <f>SUM(F3:F7)</f>
        <v>12425</v>
      </c>
      <c r="G8" s="4"/>
      <c r="H8" s="1">
        <v>2070</v>
      </c>
      <c r="I8" s="4">
        <f>SUM(I3:I7)</f>
        <v>2306</v>
      </c>
      <c r="J8" s="1">
        <f>2258+26</f>
        <v>2284</v>
      </c>
      <c r="K8" s="1">
        <v>2258</v>
      </c>
      <c r="L8" s="1">
        <v>2249</v>
      </c>
      <c r="M8" s="1">
        <v>9</v>
      </c>
      <c r="N8" s="1">
        <v>26</v>
      </c>
      <c r="O8" s="1" t="s">
        <v>60</v>
      </c>
      <c r="P8" s="1" t="s">
        <v>62</v>
      </c>
    </row>
    <row r="9" spans="1:19" x14ac:dyDescent="0.2">
      <c r="A9" t="s">
        <v>5</v>
      </c>
      <c r="B9" t="s">
        <v>42</v>
      </c>
      <c r="C9" t="s">
        <v>43</v>
      </c>
      <c r="D9" t="s">
        <v>44</v>
      </c>
      <c r="E9">
        <v>500</v>
      </c>
      <c r="F9">
        <v>2485</v>
      </c>
      <c r="G9" s="3">
        <v>10</v>
      </c>
      <c r="I9" s="3">
        <v>444</v>
      </c>
      <c r="L9">
        <v>438</v>
      </c>
      <c r="M9">
        <v>2</v>
      </c>
      <c r="Q9">
        <f t="shared" si="0"/>
        <v>0.876</v>
      </c>
    </row>
    <row r="10" spans="1:19" x14ac:dyDescent="0.2">
      <c r="A10" t="s">
        <v>5</v>
      </c>
      <c r="B10" t="s">
        <v>42</v>
      </c>
      <c r="C10" t="s">
        <v>24</v>
      </c>
      <c r="D10" t="s">
        <v>45</v>
      </c>
      <c r="E10">
        <v>500</v>
      </c>
      <c r="F10">
        <v>2485</v>
      </c>
      <c r="G10" s="3">
        <v>10</v>
      </c>
      <c r="I10" s="3">
        <v>474</v>
      </c>
      <c r="L10">
        <v>455</v>
      </c>
      <c r="M10">
        <v>0</v>
      </c>
      <c r="Q10">
        <f t="shared" si="0"/>
        <v>0.91</v>
      </c>
    </row>
    <row r="11" spans="1:19" x14ac:dyDescent="0.2">
      <c r="A11" t="s">
        <v>5</v>
      </c>
      <c r="B11" t="s">
        <v>42</v>
      </c>
      <c r="C11" t="s">
        <v>46</v>
      </c>
      <c r="D11" t="s">
        <v>31</v>
      </c>
      <c r="E11">
        <v>500</v>
      </c>
      <c r="F11">
        <v>2485</v>
      </c>
      <c r="G11" s="3">
        <v>10</v>
      </c>
      <c r="I11" s="3">
        <v>466</v>
      </c>
      <c r="L11">
        <v>451</v>
      </c>
      <c r="M11">
        <v>0</v>
      </c>
      <c r="Q11">
        <f t="shared" si="0"/>
        <v>0.90200000000000002</v>
      </c>
    </row>
    <row r="12" spans="1:19" x14ac:dyDescent="0.2">
      <c r="A12" t="s">
        <v>5</v>
      </c>
      <c r="B12" t="s">
        <v>42</v>
      </c>
      <c r="C12" t="s">
        <v>47</v>
      </c>
      <c r="D12" t="s">
        <v>48</v>
      </c>
      <c r="E12">
        <v>500</v>
      </c>
      <c r="F12">
        <v>2485</v>
      </c>
      <c r="G12" s="3">
        <v>10</v>
      </c>
      <c r="I12" s="3">
        <v>471</v>
      </c>
      <c r="L12">
        <v>458</v>
      </c>
      <c r="M12">
        <v>2</v>
      </c>
      <c r="Q12">
        <f t="shared" si="0"/>
        <v>0.91600000000000004</v>
      </c>
      <c r="S12">
        <f>AVERAGE(Q3:Q19)</f>
        <v>0.89333333333333342</v>
      </c>
    </row>
    <row r="13" spans="1:19" x14ac:dyDescent="0.2">
      <c r="A13" t="s">
        <v>5</v>
      </c>
      <c r="B13" t="s">
        <v>42</v>
      </c>
      <c r="C13" t="s">
        <v>49</v>
      </c>
      <c r="D13" t="s">
        <v>50</v>
      </c>
      <c r="E13">
        <v>500</v>
      </c>
      <c r="F13">
        <v>2485</v>
      </c>
      <c r="G13" s="3">
        <v>10</v>
      </c>
      <c r="I13" s="3">
        <v>451</v>
      </c>
      <c r="L13">
        <v>440</v>
      </c>
      <c r="M13">
        <v>0</v>
      </c>
      <c r="Q13">
        <f t="shared" si="0"/>
        <v>0.88</v>
      </c>
    </row>
    <row r="14" spans="1:19" x14ac:dyDescent="0.2">
      <c r="A14" s="1"/>
      <c r="B14" s="1"/>
      <c r="C14" s="1"/>
      <c r="D14" s="1"/>
      <c r="E14" s="1">
        <f>SUM(E9:E13)</f>
        <v>2500</v>
      </c>
      <c r="F14" s="1">
        <f>SUM(F9:F13)</f>
        <v>12425</v>
      </c>
      <c r="G14" s="4"/>
      <c r="H14" s="1">
        <v>2070</v>
      </c>
      <c r="I14" s="4">
        <f>SUM(I9:I13)</f>
        <v>2306</v>
      </c>
      <c r="J14" s="1">
        <f>K14+N14</f>
        <v>2271</v>
      </c>
      <c r="K14" s="1">
        <v>2242</v>
      </c>
      <c r="L14" s="1">
        <v>2238</v>
      </c>
      <c r="M14" s="1">
        <v>4</v>
      </c>
      <c r="N14" s="1">
        <v>29</v>
      </c>
      <c r="O14" s="1">
        <v>17</v>
      </c>
      <c r="P14" s="1">
        <f>29-17</f>
        <v>12</v>
      </c>
    </row>
    <row r="15" spans="1:19" x14ac:dyDescent="0.2">
      <c r="A15" t="s">
        <v>5</v>
      </c>
      <c r="B15" t="s">
        <v>42</v>
      </c>
      <c r="C15" t="s">
        <v>43</v>
      </c>
      <c r="D15" t="s">
        <v>44</v>
      </c>
      <c r="E15">
        <v>500</v>
      </c>
      <c r="F15">
        <v>2485</v>
      </c>
      <c r="G15" s="3">
        <v>15</v>
      </c>
      <c r="I15" s="3">
        <v>474</v>
      </c>
      <c r="L15">
        <v>423</v>
      </c>
      <c r="M15">
        <v>0</v>
      </c>
      <c r="Q15">
        <f t="shared" si="0"/>
        <v>0.84599999999999997</v>
      </c>
    </row>
    <row r="16" spans="1:19" x14ac:dyDescent="0.2">
      <c r="A16" t="s">
        <v>5</v>
      </c>
      <c r="B16" t="s">
        <v>42</v>
      </c>
      <c r="C16" t="s">
        <v>24</v>
      </c>
      <c r="D16" t="s">
        <v>45</v>
      </c>
      <c r="E16">
        <v>500</v>
      </c>
      <c r="F16">
        <v>2485</v>
      </c>
      <c r="G16" s="3">
        <v>15</v>
      </c>
      <c r="I16" s="3">
        <v>466</v>
      </c>
      <c r="L16">
        <v>452</v>
      </c>
      <c r="M16">
        <v>0</v>
      </c>
      <c r="Q16">
        <f t="shared" si="0"/>
        <v>0.90400000000000003</v>
      </c>
    </row>
    <row r="17" spans="1:19" x14ac:dyDescent="0.2">
      <c r="A17" t="s">
        <v>5</v>
      </c>
      <c r="B17" t="s">
        <v>42</v>
      </c>
      <c r="C17" t="s">
        <v>46</v>
      </c>
      <c r="D17" t="s">
        <v>31</v>
      </c>
      <c r="E17">
        <v>500</v>
      </c>
      <c r="F17">
        <v>2485</v>
      </c>
      <c r="G17" s="3">
        <v>15</v>
      </c>
      <c r="I17" s="3">
        <v>471</v>
      </c>
      <c r="L17">
        <v>445</v>
      </c>
      <c r="M17">
        <v>1</v>
      </c>
      <c r="Q17">
        <f t="shared" si="0"/>
        <v>0.89</v>
      </c>
    </row>
    <row r="18" spans="1:19" x14ac:dyDescent="0.2">
      <c r="A18" t="s">
        <v>5</v>
      </c>
      <c r="B18" t="s">
        <v>42</v>
      </c>
      <c r="C18" t="s">
        <v>47</v>
      </c>
      <c r="D18" t="s">
        <v>48</v>
      </c>
      <c r="E18">
        <v>500</v>
      </c>
      <c r="F18">
        <v>2485</v>
      </c>
      <c r="G18" s="3">
        <v>15</v>
      </c>
      <c r="I18" s="3">
        <v>451</v>
      </c>
      <c r="L18">
        <v>449</v>
      </c>
      <c r="M18">
        <v>2</v>
      </c>
      <c r="Q18">
        <f t="shared" si="0"/>
        <v>0.89800000000000002</v>
      </c>
    </row>
    <row r="19" spans="1:19" x14ac:dyDescent="0.2">
      <c r="A19" t="s">
        <v>5</v>
      </c>
      <c r="B19" t="s">
        <v>42</v>
      </c>
      <c r="C19" t="s">
        <v>49</v>
      </c>
      <c r="D19" t="s">
        <v>50</v>
      </c>
      <c r="E19">
        <v>500</v>
      </c>
      <c r="F19">
        <v>2485</v>
      </c>
      <c r="G19" s="3">
        <v>15</v>
      </c>
      <c r="I19" s="3">
        <v>431</v>
      </c>
      <c r="L19">
        <v>431</v>
      </c>
      <c r="M19">
        <v>1</v>
      </c>
      <c r="Q19">
        <f t="shared" si="0"/>
        <v>0.86199999999999999</v>
      </c>
    </row>
    <row r="20" spans="1:19" x14ac:dyDescent="0.2">
      <c r="A20" s="1"/>
      <c r="B20" s="1"/>
      <c r="C20" s="1"/>
      <c r="D20" s="1"/>
      <c r="E20" s="1">
        <f>SUM(E15:E19)</f>
        <v>2500</v>
      </c>
      <c r="F20" s="1">
        <f>SUM(F15:F19)</f>
        <v>12425</v>
      </c>
      <c r="G20" s="4"/>
      <c r="H20" s="1">
        <v>2070</v>
      </c>
      <c r="I20" s="4">
        <f>SUM(I15:I19)</f>
        <v>2293</v>
      </c>
      <c r="J20" s="1">
        <f>2200+16</f>
        <v>2216</v>
      </c>
      <c r="K20" s="1">
        <v>2200</v>
      </c>
      <c r="L20" s="1">
        <v>2196</v>
      </c>
      <c r="M20" s="1">
        <v>4</v>
      </c>
      <c r="N20" s="1">
        <v>16</v>
      </c>
      <c r="O20" s="1">
        <v>16</v>
      </c>
      <c r="P20" s="1">
        <v>0</v>
      </c>
    </row>
    <row r="21" spans="1:19" x14ac:dyDescent="0.2">
      <c r="A21" t="s">
        <v>5</v>
      </c>
      <c r="B21" t="s">
        <v>22</v>
      </c>
      <c r="C21" t="s">
        <v>23</v>
      </c>
      <c r="D21" t="s">
        <v>23</v>
      </c>
      <c r="E21">
        <v>250</v>
      </c>
      <c r="F21">
        <v>2485</v>
      </c>
      <c r="G21" s="3">
        <v>5</v>
      </c>
      <c r="I21" s="3">
        <v>211</v>
      </c>
      <c r="L21">
        <v>0</v>
      </c>
      <c r="M21">
        <v>3</v>
      </c>
    </row>
    <row r="22" spans="1:19" x14ac:dyDescent="0.2">
      <c r="A22" t="s">
        <v>5</v>
      </c>
      <c r="B22" t="s">
        <v>24</v>
      </c>
      <c r="C22" t="s">
        <v>25</v>
      </c>
      <c r="D22" t="s">
        <v>25</v>
      </c>
      <c r="E22">
        <v>250</v>
      </c>
      <c r="F22">
        <v>2485</v>
      </c>
      <c r="G22" s="3">
        <v>5</v>
      </c>
      <c r="I22" s="3">
        <v>224</v>
      </c>
      <c r="L22">
        <v>222</v>
      </c>
      <c r="M22">
        <v>2</v>
      </c>
      <c r="Q22">
        <f>L22/E22</f>
        <v>0.88800000000000001</v>
      </c>
    </row>
    <row r="23" spans="1:19" x14ac:dyDescent="0.2">
      <c r="A23" t="s">
        <v>5</v>
      </c>
      <c r="B23" t="s">
        <v>26</v>
      </c>
      <c r="C23" t="s">
        <v>27</v>
      </c>
      <c r="D23" t="s">
        <v>27</v>
      </c>
      <c r="E23">
        <v>250</v>
      </c>
      <c r="F23">
        <v>2485</v>
      </c>
      <c r="G23" s="3">
        <v>5</v>
      </c>
      <c r="I23" s="3">
        <v>225</v>
      </c>
      <c r="L23">
        <v>221</v>
      </c>
      <c r="M23">
        <v>3</v>
      </c>
      <c r="Q23">
        <f t="shared" ref="Q23:Q44" si="1">L23/E23</f>
        <v>0.88400000000000001</v>
      </c>
    </row>
    <row r="24" spans="1:19" x14ac:dyDescent="0.2">
      <c r="A24" t="s">
        <v>5</v>
      </c>
      <c r="B24" t="s">
        <v>28</v>
      </c>
      <c r="C24" t="s">
        <v>29</v>
      </c>
      <c r="D24" t="s">
        <v>29</v>
      </c>
      <c r="E24">
        <v>250</v>
      </c>
      <c r="F24">
        <v>2485</v>
      </c>
      <c r="G24" s="3">
        <v>5</v>
      </c>
      <c r="I24" s="3">
        <v>230</v>
      </c>
      <c r="L24">
        <v>224</v>
      </c>
      <c r="M24">
        <v>5</v>
      </c>
      <c r="Q24">
        <f t="shared" si="1"/>
        <v>0.89600000000000002</v>
      </c>
    </row>
    <row r="25" spans="1:19" x14ac:dyDescent="0.2">
      <c r="A25" t="s">
        <v>5</v>
      </c>
      <c r="B25" t="s">
        <v>65</v>
      </c>
      <c r="C25" t="s">
        <v>31</v>
      </c>
      <c r="D25" t="s">
        <v>31</v>
      </c>
      <c r="E25">
        <v>250</v>
      </c>
      <c r="F25">
        <v>2485</v>
      </c>
      <c r="G25" s="3">
        <v>5</v>
      </c>
      <c r="I25" s="3">
        <v>233</v>
      </c>
      <c r="L25">
        <v>228</v>
      </c>
      <c r="M25">
        <v>3</v>
      </c>
      <c r="Q25">
        <f t="shared" si="1"/>
        <v>0.91200000000000003</v>
      </c>
    </row>
    <row r="26" spans="1:19" x14ac:dyDescent="0.2">
      <c r="A26" t="s">
        <v>5</v>
      </c>
      <c r="B26" t="s">
        <v>32</v>
      </c>
      <c r="C26" t="s">
        <v>33</v>
      </c>
      <c r="D26" t="s">
        <v>33</v>
      </c>
      <c r="E26">
        <v>250</v>
      </c>
      <c r="F26">
        <v>2485</v>
      </c>
      <c r="G26" s="3">
        <v>5</v>
      </c>
      <c r="I26" s="3">
        <v>237</v>
      </c>
      <c r="L26">
        <v>233</v>
      </c>
      <c r="M26">
        <v>0</v>
      </c>
      <c r="Q26">
        <f t="shared" si="1"/>
        <v>0.93200000000000005</v>
      </c>
      <c r="R26">
        <f>AVERAGE(Q22:Q26)</f>
        <v>0.90240000000000009</v>
      </c>
      <c r="S26">
        <f>AVERAGE(R34,R26,R42)</f>
        <v>0.88693333333333335</v>
      </c>
    </row>
    <row r="27" spans="1:19" x14ac:dyDescent="0.2">
      <c r="A27" t="s">
        <v>5</v>
      </c>
      <c r="B27" t="s">
        <v>3</v>
      </c>
      <c r="C27" t="s">
        <v>34</v>
      </c>
      <c r="D27" t="s">
        <v>34</v>
      </c>
      <c r="E27">
        <v>250</v>
      </c>
      <c r="F27">
        <v>2485</v>
      </c>
      <c r="G27" s="3">
        <v>5</v>
      </c>
      <c r="I27" s="3">
        <v>250</v>
      </c>
      <c r="L27">
        <v>243</v>
      </c>
      <c r="M27">
        <v>1</v>
      </c>
      <c r="Q27">
        <f t="shared" si="1"/>
        <v>0.97199999999999998</v>
      </c>
      <c r="S27">
        <f>AVERAGE(Q27,Q35,Q43)</f>
        <v>0.88666666666666671</v>
      </c>
    </row>
    <row r="28" spans="1:19" x14ac:dyDescent="0.2">
      <c r="A28" s="1"/>
      <c r="B28" s="1"/>
      <c r="C28" s="1"/>
      <c r="D28" s="1"/>
      <c r="E28" s="1">
        <f>SUM(E21:E27)</f>
        <v>1750</v>
      </c>
      <c r="F28" s="1">
        <f>SUM(F21:F27)</f>
        <v>17395</v>
      </c>
      <c r="G28" s="4"/>
      <c r="H28" s="1">
        <v>2070</v>
      </c>
      <c r="I28" s="4">
        <f>SUM(I21:I27)</f>
        <v>1610</v>
      </c>
      <c r="J28" s="1">
        <f>1338+26</f>
        <v>1364</v>
      </c>
      <c r="K28" s="1">
        <v>1388</v>
      </c>
      <c r="L28" s="1">
        <f>SUM(L22:L27)</f>
        <v>1371</v>
      </c>
      <c r="M28" s="1">
        <v>17</v>
      </c>
      <c r="N28" s="1">
        <v>26</v>
      </c>
      <c r="O28" s="1" t="s">
        <v>62</v>
      </c>
      <c r="P28" s="1" t="s">
        <v>62</v>
      </c>
    </row>
    <row r="29" spans="1:19" x14ac:dyDescent="0.2">
      <c r="A29" t="s">
        <v>5</v>
      </c>
      <c r="B29" t="s">
        <v>22</v>
      </c>
      <c r="C29" t="s">
        <v>23</v>
      </c>
      <c r="D29" t="s">
        <v>23</v>
      </c>
      <c r="E29">
        <v>250</v>
      </c>
      <c r="F29">
        <v>2485</v>
      </c>
      <c r="G29" s="3">
        <v>10</v>
      </c>
      <c r="I29" s="3">
        <v>211</v>
      </c>
      <c r="L29">
        <v>0</v>
      </c>
      <c r="M29">
        <v>3</v>
      </c>
    </row>
    <row r="30" spans="1:19" x14ac:dyDescent="0.2">
      <c r="A30" t="s">
        <v>5</v>
      </c>
      <c r="B30" t="s">
        <v>24</v>
      </c>
      <c r="C30" t="s">
        <v>25</v>
      </c>
      <c r="D30" t="s">
        <v>25</v>
      </c>
      <c r="E30">
        <v>250</v>
      </c>
      <c r="F30">
        <v>2485</v>
      </c>
      <c r="G30" s="3">
        <v>10</v>
      </c>
      <c r="I30" s="3">
        <v>224</v>
      </c>
      <c r="L30">
        <v>215</v>
      </c>
      <c r="M30">
        <v>0</v>
      </c>
      <c r="Q30">
        <f t="shared" si="1"/>
        <v>0.86</v>
      </c>
    </row>
    <row r="31" spans="1:19" x14ac:dyDescent="0.2">
      <c r="A31" t="s">
        <v>5</v>
      </c>
      <c r="B31" t="s">
        <v>26</v>
      </c>
      <c r="C31" t="s">
        <v>27</v>
      </c>
      <c r="D31" t="s">
        <v>27</v>
      </c>
      <c r="E31">
        <v>250</v>
      </c>
      <c r="F31">
        <v>2485</v>
      </c>
      <c r="G31" s="3">
        <v>10</v>
      </c>
      <c r="I31" s="3">
        <v>225</v>
      </c>
      <c r="L31">
        <v>218</v>
      </c>
      <c r="M31">
        <v>1</v>
      </c>
      <c r="Q31">
        <f t="shared" si="1"/>
        <v>0.872</v>
      </c>
    </row>
    <row r="32" spans="1:19" x14ac:dyDescent="0.2">
      <c r="A32" t="s">
        <v>5</v>
      </c>
      <c r="B32" t="s">
        <v>28</v>
      </c>
      <c r="C32" t="s">
        <v>29</v>
      </c>
      <c r="D32" t="s">
        <v>29</v>
      </c>
      <c r="E32">
        <v>250</v>
      </c>
      <c r="F32">
        <v>2485</v>
      </c>
      <c r="G32" s="3">
        <v>10</v>
      </c>
      <c r="I32" s="3">
        <v>230</v>
      </c>
      <c r="L32">
        <v>221</v>
      </c>
      <c r="M32">
        <v>0</v>
      </c>
      <c r="Q32">
        <f t="shared" si="1"/>
        <v>0.88400000000000001</v>
      </c>
    </row>
    <row r="33" spans="1:18" x14ac:dyDescent="0.2">
      <c r="A33" t="s">
        <v>5</v>
      </c>
      <c r="B33" t="s">
        <v>65</v>
      </c>
      <c r="C33" t="s">
        <v>31</v>
      </c>
      <c r="D33" t="s">
        <v>31</v>
      </c>
      <c r="E33">
        <v>250</v>
      </c>
      <c r="F33">
        <v>2485</v>
      </c>
      <c r="G33" s="3">
        <v>10</v>
      </c>
      <c r="I33" s="3">
        <v>233</v>
      </c>
      <c r="L33">
        <v>223</v>
      </c>
      <c r="M33">
        <v>1</v>
      </c>
      <c r="Q33">
        <f t="shared" si="1"/>
        <v>0.89200000000000002</v>
      </c>
    </row>
    <row r="34" spans="1:18" x14ac:dyDescent="0.2">
      <c r="A34" t="s">
        <v>5</v>
      </c>
      <c r="B34" t="s">
        <v>32</v>
      </c>
      <c r="C34" t="s">
        <v>33</v>
      </c>
      <c r="D34" t="s">
        <v>33</v>
      </c>
      <c r="E34">
        <v>250</v>
      </c>
      <c r="F34">
        <v>2485</v>
      </c>
      <c r="G34" s="3">
        <v>10</v>
      </c>
      <c r="I34" s="3">
        <v>237</v>
      </c>
      <c r="L34">
        <v>226</v>
      </c>
      <c r="M34">
        <v>0</v>
      </c>
      <c r="Q34">
        <f t="shared" si="1"/>
        <v>0.90400000000000003</v>
      </c>
      <c r="R34">
        <f>AVERAGE(Q30:Q34)</f>
        <v>0.88239999999999996</v>
      </c>
    </row>
    <row r="35" spans="1:18" x14ac:dyDescent="0.2">
      <c r="A35" t="s">
        <v>5</v>
      </c>
      <c r="B35" t="s">
        <v>3</v>
      </c>
      <c r="C35" t="s">
        <v>34</v>
      </c>
      <c r="D35" t="s">
        <v>34</v>
      </c>
      <c r="E35">
        <v>250</v>
      </c>
      <c r="F35">
        <v>2485</v>
      </c>
      <c r="G35" s="3">
        <v>10</v>
      </c>
      <c r="I35" s="3">
        <v>250</v>
      </c>
      <c r="L35">
        <v>189</v>
      </c>
      <c r="M35">
        <v>0</v>
      </c>
      <c r="Q35">
        <f t="shared" si="1"/>
        <v>0.75600000000000001</v>
      </c>
    </row>
    <row r="36" spans="1:18" x14ac:dyDescent="0.2">
      <c r="A36" s="1"/>
      <c r="B36" s="1"/>
      <c r="C36" s="1"/>
      <c r="D36" s="1"/>
      <c r="E36" s="1">
        <f>SUM(E29:E35)</f>
        <v>1750</v>
      </c>
      <c r="F36" s="1">
        <f>SUM(F29:F35)</f>
        <v>17395</v>
      </c>
      <c r="G36" s="4"/>
      <c r="H36" s="1">
        <f>3680-1610</f>
        <v>2070</v>
      </c>
      <c r="I36" s="4">
        <f>SUM(I29:I35)</f>
        <v>1610</v>
      </c>
      <c r="J36" s="1">
        <v>1314</v>
      </c>
      <c r="K36" s="1">
        <v>1295</v>
      </c>
      <c r="L36" s="1">
        <v>1290</v>
      </c>
      <c r="M36" s="1">
        <v>5</v>
      </c>
      <c r="N36" s="1">
        <v>19</v>
      </c>
      <c r="O36" s="1">
        <v>14</v>
      </c>
      <c r="P36" s="1">
        <v>5</v>
      </c>
    </row>
    <row r="37" spans="1:18" x14ac:dyDescent="0.2">
      <c r="A37" t="s">
        <v>5</v>
      </c>
      <c r="B37" t="s">
        <v>22</v>
      </c>
      <c r="C37" t="s">
        <v>23</v>
      </c>
      <c r="D37" t="s">
        <v>23</v>
      </c>
      <c r="E37">
        <v>250</v>
      </c>
      <c r="F37">
        <v>2485</v>
      </c>
      <c r="G37" s="3">
        <v>15</v>
      </c>
      <c r="I37" s="3">
        <v>211</v>
      </c>
      <c r="L37">
        <v>204</v>
      </c>
      <c r="M37">
        <v>2</v>
      </c>
      <c r="Q37">
        <f t="shared" si="1"/>
        <v>0.81599999999999995</v>
      </c>
    </row>
    <row r="38" spans="1:18" x14ac:dyDescent="0.2">
      <c r="A38" t="s">
        <v>5</v>
      </c>
      <c r="B38" t="s">
        <v>24</v>
      </c>
      <c r="C38" t="s">
        <v>25</v>
      </c>
      <c r="D38" t="s">
        <v>25</v>
      </c>
      <c r="E38">
        <v>250</v>
      </c>
      <c r="F38">
        <v>2485</v>
      </c>
      <c r="G38" s="3">
        <v>15</v>
      </c>
      <c r="I38" s="3">
        <v>224</v>
      </c>
      <c r="L38">
        <v>214</v>
      </c>
      <c r="M38">
        <v>0</v>
      </c>
      <c r="Q38">
        <f t="shared" si="1"/>
        <v>0.85599999999999998</v>
      </c>
    </row>
    <row r="39" spans="1:18" x14ac:dyDescent="0.2">
      <c r="A39" t="s">
        <v>5</v>
      </c>
      <c r="B39" t="s">
        <v>26</v>
      </c>
      <c r="C39" t="s">
        <v>27</v>
      </c>
      <c r="D39" t="s">
        <v>27</v>
      </c>
      <c r="E39">
        <v>250</v>
      </c>
      <c r="F39">
        <v>2485</v>
      </c>
      <c r="G39" s="3">
        <v>15</v>
      </c>
      <c r="I39" s="3">
        <v>225</v>
      </c>
      <c r="L39">
        <v>216</v>
      </c>
      <c r="M39">
        <v>0</v>
      </c>
      <c r="Q39">
        <f t="shared" si="1"/>
        <v>0.86399999999999999</v>
      </c>
    </row>
    <row r="40" spans="1:18" x14ac:dyDescent="0.2">
      <c r="A40" t="s">
        <v>5</v>
      </c>
      <c r="B40" t="s">
        <v>28</v>
      </c>
      <c r="C40" t="s">
        <v>29</v>
      </c>
      <c r="D40" t="s">
        <v>29</v>
      </c>
      <c r="E40">
        <v>250</v>
      </c>
      <c r="F40">
        <v>2485</v>
      </c>
      <c r="G40" s="3">
        <v>15</v>
      </c>
      <c r="I40" s="3">
        <v>230</v>
      </c>
      <c r="L40">
        <v>219</v>
      </c>
      <c r="M40">
        <v>0</v>
      </c>
      <c r="Q40">
        <f t="shared" si="1"/>
        <v>0.876</v>
      </c>
    </row>
    <row r="41" spans="1:18" x14ac:dyDescent="0.2">
      <c r="A41" t="s">
        <v>5</v>
      </c>
      <c r="B41" t="s">
        <v>65</v>
      </c>
      <c r="C41" t="s">
        <v>31</v>
      </c>
      <c r="D41" t="s">
        <v>31</v>
      </c>
      <c r="E41">
        <v>250</v>
      </c>
      <c r="F41">
        <v>2485</v>
      </c>
      <c r="G41" s="3">
        <v>15</v>
      </c>
      <c r="I41" s="3">
        <v>233</v>
      </c>
      <c r="L41">
        <v>223</v>
      </c>
      <c r="M41">
        <v>0</v>
      </c>
      <c r="Q41">
        <f t="shared" si="1"/>
        <v>0.89200000000000002</v>
      </c>
    </row>
    <row r="42" spans="1:18" x14ac:dyDescent="0.2">
      <c r="A42" t="s">
        <v>5</v>
      </c>
      <c r="B42" t="s">
        <v>32</v>
      </c>
      <c r="C42" t="s">
        <v>33</v>
      </c>
      <c r="D42" t="s">
        <v>33</v>
      </c>
      <c r="E42">
        <v>250</v>
      </c>
      <c r="F42">
        <v>2485</v>
      </c>
      <c r="G42" s="3">
        <v>15</v>
      </c>
      <c r="I42" s="3">
        <v>237</v>
      </c>
      <c r="L42">
        <v>223</v>
      </c>
      <c r="M42">
        <v>0</v>
      </c>
      <c r="Q42">
        <f t="shared" si="1"/>
        <v>0.89200000000000002</v>
      </c>
      <c r="R42">
        <f>AVERAGE(Q38:Q42)</f>
        <v>0.876</v>
      </c>
    </row>
    <row r="43" spans="1:18" x14ac:dyDescent="0.2">
      <c r="A43" t="s">
        <v>5</v>
      </c>
      <c r="B43" t="s">
        <v>3</v>
      </c>
      <c r="C43" t="s">
        <v>34</v>
      </c>
      <c r="D43" t="s">
        <v>34</v>
      </c>
      <c r="E43">
        <v>250</v>
      </c>
      <c r="F43">
        <v>2485</v>
      </c>
      <c r="G43" s="3">
        <v>15</v>
      </c>
      <c r="I43" s="3">
        <v>250</v>
      </c>
      <c r="L43">
        <v>233</v>
      </c>
      <c r="M43">
        <v>0</v>
      </c>
      <c r="Q43">
        <f t="shared" si="1"/>
        <v>0.93200000000000005</v>
      </c>
    </row>
    <row r="44" spans="1:18" x14ac:dyDescent="0.2">
      <c r="E44">
        <f>SUM(E37:E43)</f>
        <v>1750</v>
      </c>
      <c r="F44">
        <f>SUM(F37:F43)</f>
        <v>17395</v>
      </c>
      <c r="G44" s="3"/>
      <c r="H44">
        <f>3680-1610</f>
        <v>2070</v>
      </c>
      <c r="I44" s="3">
        <f>SUM(I37:I43)</f>
        <v>1610</v>
      </c>
      <c r="J44">
        <f>1534+16</f>
        <v>1550</v>
      </c>
      <c r="K44">
        <v>1534</v>
      </c>
      <c r="L44">
        <v>1532</v>
      </c>
      <c r="M44">
        <v>2</v>
      </c>
      <c r="N44">
        <v>16</v>
      </c>
      <c r="O44">
        <v>16</v>
      </c>
      <c r="P44">
        <v>0</v>
      </c>
      <c r="Q44">
        <f t="shared" si="1"/>
        <v>0.87542857142857144</v>
      </c>
    </row>
  </sheetData>
  <mergeCells count="2">
    <mergeCell ref="H1:I1"/>
    <mergeCell ref="J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E0DA-D4B4-9849-B7CE-372297596C64}">
  <dimension ref="A1:P6"/>
  <sheetViews>
    <sheetView workbookViewId="0">
      <selection activeCell="P24" sqref="P24"/>
    </sheetView>
  </sheetViews>
  <sheetFormatPr baseColWidth="10" defaultRowHeight="16" x14ac:dyDescent="0.2"/>
  <cols>
    <col min="12" max="12" width="9" bestFit="1" customWidth="1"/>
    <col min="13" max="13" width="13.33203125" bestFit="1" customWidth="1"/>
    <col min="16" max="16" width="17.83203125" bestFit="1" customWidth="1"/>
  </cols>
  <sheetData>
    <row r="1" spans="1:16" x14ac:dyDescent="0.2">
      <c r="A1" s="12" t="s">
        <v>0</v>
      </c>
      <c r="B1" s="12" t="s">
        <v>11</v>
      </c>
      <c r="C1" s="12" t="s">
        <v>38</v>
      </c>
      <c r="D1" s="12" t="s">
        <v>39</v>
      </c>
      <c r="E1" s="12" t="s">
        <v>1</v>
      </c>
      <c r="F1" s="12" t="s">
        <v>13</v>
      </c>
      <c r="G1" s="12" t="s">
        <v>2</v>
      </c>
      <c r="H1" s="12" t="s">
        <v>14</v>
      </c>
      <c r="I1" s="12" t="s">
        <v>7</v>
      </c>
      <c r="J1" s="12" t="s">
        <v>16</v>
      </c>
      <c r="K1" s="12" t="s">
        <v>17</v>
      </c>
      <c r="L1" s="12" t="s">
        <v>18</v>
      </c>
      <c r="M1" s="12" t="s">
        <v>19</v>
      </c>
      <c r="N1" s="12" t="s">
        <v>20</v>
      </c>
      <c r="O1" s="12" t="s">
        <v>8</v>
      </c>
      <c r="P1" s="12" t="s">
        <v>9</v>
      </c>
    </row>
    <row r="2" spans="1:16" x14ac:dyDescent="0.2">
      <c r="A2" s="12" t="s">
        <v>5</v>
      </c>
      <c r="B2" s="12" t="s">
        <v>42</v>
      </c>
      <c r="C2" s="12" t="s">
        <v>66</v>
      </c>
      <c r="D2" s="12" t="s">
        <v>66</v>
      </c>
      <c r="E2" s="12">
        <v>0.5</v>
      </c>
      <c r="F2" s="12">
        <v>12</v>
      </c>
      <c r="G2" s="12">
        <v>12425</v>
      </c>
      <c r="H2" s="13">
        <v>1E-3</v>
      </c>
      <c r="I2" s="12">
        <v>10360</v>
      </c>
      <c r="J2" s="12">
        <v>11</v>
      </c>
      <c r="K2" s="12">
        <v>98</v>
      </c>
      <c r="L2" s="12">
        <v>11</v>
      </c>
      <c r="M2" s="12">
        <v>11</v>
      </c>
      <c r="N2" s="12">
        <v>0</v>
      </c>
      <c r="O2" s="12">
        <v>87</v>
      </c>
      <c r="P2" s="12">
        <v>65</v>
      </c>
    </row>
    <row r="3" spans="1:16" x14ac:dyDescent="0.2">
      <c r="A3" s="12" t="s">
        <v>5</v>
      </c>
      <c r="B3" s="12" t="s">
        <v>42</v>
      </c>
      <c r="C3" s="12" t="s">
        <v>66</v>
      </c>
      <c r="D3" s="12" t="s">
        <v>66</v>
      </c>
      <c r="E3" s="12">
        <v>0.5</v>
      </c>
      <c r="F3" s="12">
        <v>124</v>
      </c>
      <c r="G3" s="12">
        <v>12425</v>
      </c>
      <c r="H3" s="14">
        <v>0.01</v>
      </c>
      <c r="I3" s="12">
        <v>10464</v>
      </c>
      <c r="J3" s="12">
        <v>115</v>
      </c>
      <c r="K3" s="12">
        <v>197</v>
      </c>
      <c r="L3" s="12">
        <v>110</v>
      </c>
      <c r="M3" s="12">
        <v>110</v>
      </c>
      <c r="N3" s="12">
        <v>0</v>
      </c>
      <c r="O3" s="12">
        <v>87</v>
      </c>
      <c r="P3" s="12">
        <v>65</v>
      </c>
    </row>
    <row r="4" spans="1:16" x14ac:dyDescent="0.2">
      <c r="A4" s="12" t="s">
        <v>5</v>
      </c>
      <c r="B4" s="12" t="s">
        <v>42</v>
      </c>
      <c r="C4" s="12" t="s">
        <v>66</v>
      </c>
      <c r="D4" s="12" t="s">
        <v>66</v>
      </c>
      <c r="E4" s="12">
        <v>0.5</v>
      </c>
      <c r="F4" s="12">
        <v>660</v>
      </c>
      <c r="G4" s="12">
        <v>12425</v>
      </c>
      <c r="H4" s="14">
        <v>0.05</v>
      </c>
      <c r="I4" s="12">
        <v>10976</v>
      </c>
      <c r="J4" s="12">
        <v>627</v>
      </c>
      <c r="K4" s="12">
        <v>680</v>
      </c>
      <c r="L4" s="12">
        <v>593</v>
      </c>
      <c r="M4" s="12">
        <v>593</v>
      </c>
      <c r="N4" s="12">
        <v>0</v>
      </c>
      <c r="O4" s="12">
        <v>87</v>
      </c>
      <c r="P4" s="12">
        <v>65</v>
      </c>
    </row>
    <row r="5" spans="1:16" x14ac:dyDescent="0.2">
      <c r="A5" s="12" t="s">
        <v>5</v>
      </c>
      <c r="B5" s="12" t="s">
        <v>42</v>
      </c>
      <c r="C5" s="12" t="s">
        <v>66</v>
      </c>
      <c r="D5" s="12" t="s">
        <v>66</v>
      </c>
      <c r="E5" s="12">
        <v>0.5</v>
      </c>
      <c r="F5" s="12">
        <v>1400</v>
      </c>
      <c r="G5" s="12">
        <v>12425</v>
      </c>
      <c r="H5" s="14">
        <v>0.1</v>
      </c>
      <c r="I5" s="12">
        <v>11678</v>
      </c>
      <c r="J5" s="12">
        <v>1329</v>
      </c>
      <c r="K5" s="12">
        <v>1344</v>
      </c>
      <c r="L5" s="12">
        <v>1257</v>
      </c>
      <c r="M5" s="12">
        <v>1256</v>
      </c>
      <c r="N5" s="12">
        <v>1</v>
      </c>
      <c r="O5" s="12">
        <v>87</v>
      </c>
      <c r="P5" s="12">
        <v>65</v>
      </c>
    </row>
    <row r="6" spans="1:16" x14ac:dyDescent="0.2">
      <c r="A6" s="12" t="s">
        <v>5</v>
      </c>
      <c r="B6" s="12" t="s">
        <v>42</v>
      </c>
      <c r="C6" s="12" t="s">
        <v>66</v>
      </c>
      <c r="D6" s="12" t="s">
        <v>66</v>
      </c>
      <c r="E6" s="12">
        <v>0.5</v>
      </c>
      <c r="F6" s="12">
        <v>5350</v>
      </c>
      <c r="G6" s="12">
        <v>12425</v>
      </c>
      <c r="H6" s="14">
        <v>0.3</v>
      </c>
      <c r="I6" s="12">
        <v>15435</v>
      </c>
      <c r="J6" s="12">
        <v>5076</v>
      </c>
      <c r="K6" s="12">
        <v>4930</v>
      </c>
      <c r="L6" s="12">
        <v>4843</v>
      </c>
      <c r="M6" s="12">
        <v>4836</v>
      </c>
      <c r="N6" s="12">
        <v>7</v>
      </c>
      <c r="O6" s="12">
        <v>87</v>
      </c>
      <c r="P6" s="12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10F6-E828-D245-A861-DE2354C99CA2}">
  <dimension ref="A1:P9"/>
  <sheetViews>
    <sheetView workbookViewId="0">
      <selection activeCell="K24" sqref="K24"/>
    </sheetView>
  </sheetViews>
  <sheetFormatPr baseColWidth="10" defaultRowHeight="16" x14ac:dyDescent="0.2"/>
  <cols>
    <col min="4" max="4" width="8.83203125" bestFit="1" customWidth="1"/>
    <col min="12" max="12" width="13.33203125" bestFit="1" customWidth="1"/>
    <col min="13" max="13" width="28" bestFit="1" customWidth="1"/>
    <col min="14" max="14" width="13.83203125" bestFit="1" customWidth="1"/>
    <col min="15" max="15" width="17.83203125" bestFit="1" customWidth="1"/>
    <col min="16" max="16" width="14.33203125" bestFit="1" customWidth="1"/>
  </cols>
  <sheetData>
    <row r="1" spans="1:16" x14ac:dyDescent="0.2">
      <c r="A1" t="s">
        <v>0</v>
      </c>
      <c r="B1" t="s">
        <v>35</v>
      </c>
      <c r="C1" t="s">
        <v>12</v>
      </c>
      <c r="D1" t="s">
        <v>1</v>
      </c>
      <c r="E1" t="s">
        <v>36</v>
      </c>
      <c r="F1" t="s">
        <v>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37</v>
      </c>
      <c r="N1" t="s">
        <v>8</v>
      </c>
      <c r="O1" t="s">
        <v>9</v>
      </c>
      <c r="P1" t="s">
        <v>21</v>
      </c>
    </row>
    <row r="2" spans="1:16" x14ac:dyDescent="0.2">
      <c r="A2" t="s">
        <v>5</v>
      </c>
      <c r="B2" t="s">
        <v>22</v>
      </c>
      <c r="C2" t="s">
        <v>23</v>
      </c>
      <c r="D2">
        <v>0.5</v>
      </c>
      <c r="E2">
        <v>250</v>
      </c>
      <c r="F2">
        <v>2485</v>
      </c>
      <c r="G2">
        <v>9.14</v>
      </c>
      <c r="I2">
        <v>211</v>
      </c>
      <c r="K2">
        <v>3</v>
      </c>
      <c r="L2">
        <v>0</v>
      </c>
      <c r="M2">
        <v>3</v>
      </c>
    </row>
    <row r="3" spans="1:16" x14ac:dyDescent="0.2">
      <c r="A3" t="s">
        <v>5</v>
      </c>
      <c r="B3" t="s">
        <v>24</v>
      </c>
      <c r="C3" t="s">
        <v>25</v>
      </c>
      <c r="D3">
        <v>0.5</v>
      </c>
      <c r="E3">
        <v>250</v>
      </c>
      <c r="F3">
        <v>2485</v>
      </c>
      <c r="G3">
        <v>9.14</v>
      </c>
      <c r="I3">
        <v>224</v>
      </c>
      <c r="K3">
        <v>215</v>
      </c>
      <c r="L3">
        <v>215</v>
      </c>
      <c r="M3">
        <v>0</v>
      </c>
    </row>
    <row r="4" spans="1:16" x14ac:dyDescent="0.2">
      <c r="A4" t="s">
        <v>5</v>
      </c>
      <c r="B4" t="s">
        <v>26</v>
      </c>
      <c r="C4" t="s">
        <v>27</v>
      </c>
      <c r="D4">
        <v>0.5</v>
      </c>
      <c r="E4">
        <v>250</v>
      </c>
      <c r="F4">
        <v>2485</v>
      </c>
      <c r="G4">
        <v>9.14</v>
      </c>
      <c r="I4">
        <v>225</v>
      </c>
      <c r="K4">
        <v>218</v>
      </c>
      <c r="L4">
        <v>218</v>
      </c>
      <c r="M4">
        <v>1</v>
      </c>
    </row>
    <row r="5" spans="1:16" x14ac:dyDescent="0.2">
      <c r="A5" t="s">
        <v>5</v>
      </c>
      <c r="B5" t="s">
        <v>28</v>
      </c>
      <c r="C5" t="s">
        <v>29</v>
      </c>
      <c r="D5">
        <v>0.5</v>
      </c>
      <c r="E5">
        <v>250</v>
      </c>
      <c r="F5">
        <v>2485</v>
      </c>
      <c r="G5">
        <v>9.14</v>
      </c>
      <c r="I5">
        <v>230</v>
      </c>
      <c r="K5">
        <v>221</v>
      </c>
      <c r="L5">
        <v>221</v>
      </c>
      <c r="M5">
        <v>0</v>
      </c>
    </row>
    <row r="6" spans="1:16" x14ac:dyDescent="0.2">
      <c r="A6" t="s">
        <v>5</v>
      </c>
      <c r="B6" t="s">
        <v>30</v>
      </c>
      <c r="C6" t="s">
        <v>31</v>
      </c>
      <c r="D6">
        <v>0.5</v>
      </c>
      <c r="E6">
        <v>250</v>
      </c>
      <c r="F6">
        <v>2485</v>
      </c>
      <c r="G6">
        <v>9.14</v>
      </c>
      <c r="I6">
        <v>233</v>
      </c>
      <c r="K6">
        <v>223</v>
      </c>
      <c r="L6">
        <v>223</v>
      </c>
      <c r="M6">
        <v>1</v>
      </c>
    </row>
    <row r="7" spans="1:16" x14ac:dyDescent="0.2">
      <c r="A7" t="s">
        <v>5</v>
      </c>
      <c r="B7" t="s">
        <v>32</v>
      </c>
      <c r="C7" t="s">
        <v>33</v>
      </c>
      <c r="D7">
        <v>0.5</v>
      </c>
      <c r="E7">
        <v>250</v>
      </c>
      <c r="F7">
        <v>2485</v>
      </c>
      <c r="G7">
        <v>9.14</v>
      </c>
      <c r="I7">
        <v>237</v>
      </c>
      <c r="K7">
        <v>226</v>
      </c>
      <c r="L7">
        <v>226</v>
      </c>
      <c r="M7">
        <v>0</v>
      </c>
    </row>
    <row r="8" spans="1:16" x14ac:dyDescent="0.2">
      <c r="A8" t="s">
        <v>5</v>
      </c>
      <c r="B8" t="s">
        <v>3</v>
      </c>
      <c r="C8" t="s">
        <v>34</v>
      </c>
      <c r="D8">
        <v>0.5</v>
      </c>
      <c r="E8">
        <v>250</v>
      </c>
      <c r="F8">
        <v>2485</v>
      </c>
      <c r="G8">
        <v>9.14</v>
      </c>
      <c r="I8">
        <v>250</v>
      </c>
      <c r="K8">
        <v>189</v>
      </c>
      <c r="L8">
        <v>189</v>
      </c>
      <c r="M8">
        <v>0</v>
      </c>
    </row>
    <row r="9" spans="1:16" x14ac:dyDescent="0.2">
      <c r="A9" t="s">
        <v>10</v>
      </c>
      <c r="E9">
        <f>SUM(E2:E8)</f>
        <v>1750</v>
      </c>
      <c r="F9">
        <f>SUM(F2:F8)</f>
        <v>17395</v>
      </c>
      <c r="G9">
        <f>(E9/F9)*100</f>
        <v>10.06036217303823</v>
      </c>
      <c r="H9">
        <f>3680-1610</f>
        <v>2070</v>
      </c>
      <c r="I9">
        <f>SUM(I2:I8)</f>
        <v>1610</v>
      </c>
      <c r="J9">
        <v>1314</v>
      </c>
      <c r="K9">
        <v>1295</v>
      </c>
      <c r="L9">
        <v>1290</v>
      </c>
      <c r="M9">
        <v>5</v>
      </c>
      <c r="N9">
        <v>19</v>
      </c>
      <c r="O9">
        <v>14</v>
      </c>
      <c r="P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false positive</vt:lpstr>
      <vt:lpstr>var insert length</vt:lpstr>
      <vt:lpstr>var insert placement</vt:lpstr>
      <vt:lpstr>mmf</vt:lpstr>
      <vt:lpstr>frag number</vt:lpstr>
      <vt:lpstr>spike rate</vt:lpstr>
      <vt:lpstr>PacBio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Guerra</dc:creator>
  <cp:lastModifiedBy>Sophia Guerra</cp:lastModifiedBy>
  <dcterms:created xsi:type="dcterms:W3CDTF">2026-07-21T13:53:40Z</dcterms:created>
  <dcterms:modified xsi:type="dcterms:W3CDTF">2026-09-04T14:06:14Z</dcterms:modified>
</cp:coreProperties>
</file>